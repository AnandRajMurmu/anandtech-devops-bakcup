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f9ee891c5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2df7366ac1443b"/>
    <x:sheet xmlns:r="http://schemas.openxmlformats.org/officeDocument/2006/relationships" name="Plan Rules" sheetId="2" r:id="R3e878509083b46d9"/>
    <x:sheet xmlns:r="http://schemas.openxmlformats.org/officeDocument/2006/relationships" name="Discussion Log" sheetId="3" r:id="R90371810a00c45cc"/>
    <x:sheet xmlns:r="http://schemas.openxmlformats.org/officeDocument/2006/relationships" name="Section Planning" sheetId="4" r:id="R770921f046bc4c37"/>
    <x:sheet xmlns:r="http://schemas.openxmlformats.org/officeDocument/2006/relationships" name="Lab Planning" sheetId="5" r:id="R7a768e6d4707441c"/>
    <x:sheet xmlns:r="http://schemas.openxmlformats.org/officeDocument/2006/relationships" name="Workshop Planning" sheetId="6" r:id="Re255f7d42d94427c"/>
    <x:sheet xmlns:r="http://schemas.openxmlformats.org/officeDocument/2006/relationships" name="Open Questions" sheetId="7" r:id="R63018bb4b4874d74"/>
    <x:sheet xmlns:r="http://schemas.openxmlformats.org/officeDocument/2006/relationships" name="Decision Register" sheetId="8" r:id="Rdce095ccdb74430c"/>
    <x:sheet xmlns:r="http://schemas.openxmlformats.org/officeDocument/2006/relationships" name="Review Checklist" sheetId="9" r:id="Rfd1a557d0b324645"/>
    <x:sheet xmlns:r="http://schemas.openxmlformats.org/officeDocument/2006/relationships" name="Change Log" sheetId="10" r:id="R197b742e322d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8"/>
      <x:color rgb="FF16324F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sz val="9"/>
      <x:color rgb="FF37415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8"/>
      </x:patternFill>
    </x:fill>
    <x:fill>
      <x:patternFill patternType="solid">
        <x:fgColor rgb="FF0F766E"/>
      </x:patternFill>
    </x:fill>
    <x:fill>
      <x:patternFill patternType="solid">
        <x:fgColor rgb="FFE8F7F5"/>
      </x:patternFill>
    </x:fill>
    <x:fill>
      <x:patternFill patternType="solid">
        <x:fgColor rgb="FFFFF6D8"/>
      </x:patternFill>
    </x:fill>
  </x:fills>
  <x:borders count="21">
    <x:border/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4A72C"/>
      </x:left>
      <x:top style="thin">
        <x:color rgb="FFD4A72C"/>
      </x:top>
    </x:border>
    <x:border>
      <x:top style="thin">
        <x:color rgb="FFD4A72C"/>
      </x:top>
    </x:border>
    <x:border>
      <x:right style="thin">
        <x:color rgb="FFD4A72C"/>
      </x:right>
      <x:top style="thin">
        <x:color rgb="FFD4A72C"/>
      </x:top>
    </x:border>
    <x:border>
      <x:left style="thin">
        <x:color rgb="FFD4A72C"/>
      </x:left>
    </x:border>
    <x:border>
      <x:right style="thin">
        <x:color rgb="FFD4A72C"/>
      </x:right>
    </x:border>
    <x:border>
      <x:left style="thin">
        <x:color rgb="FFD4A72C"/>
      </x:left>
      <x:bottom style="thin">
        <x:color rgb="FFD4A72C"/>
      </x:bottom>
    </x:border>
    <x:border>
      <x:bottom style="thin">
        <x:color rgb="FFD4A72C"/>
      </x:bottom>
    </x:border>
    <x:border>
      <x:right style="thin">
        <x:color rgb="FFD4A72C"/>
      </x:right>
      <x:bottom style="thin">
        <x:color rgb="FFD4A72C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FF6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3c336d90e415a" /><Relationship Type="http://schemas.openxmlformats.org/officeDocument/2006/relationships/theme" Target="/xl/theme/theme1.xml" Id="Rcb79a4dd16984071" /><Relationship Type="http://schemas.openxmlformats.org/officeDocument/2006/relationships/sharedStrings" Target="/xl/sharedStrings.xml" Id="Re8a2919f03f34166" /><Relationship Type="http://schemas.openxmlformats.org/officeDocument/2006/relationships/worksheet" Target="/xl/worksheets/sheet1.xml" Id="R4a2df7366ac1443b" /><Relationship Type="http://schemas.openxmlformats.org/officeDocument/2006/relationships/worksheet" Target="/xl/worksheets/sheet2.xml" Id="R3e878509083b46d9" /><Relationship Type="http://schemas.openxmlformats.org/officeDocument/2006/relationships/worksheet" Target="/xl/worksheets/sheet3.xml" Id="R90371810a00c45cc" /><Relationship Type="http://schemas.openxmlformats.org/officeDocument/2006/relationships/worksheet" Target="/xl/worksheets/sheet4.xml" Id="R770921f046bc4c37" /><Relationship Type="http://schemas.openxmlformats.org/officeDocument/2006/relationships/worksheet" Target="/xl/worksheets/sheet5.xml" Id="R7a768e6d4707441c" /><Relationship Type="http://schemas.openxmlformats.org/officeDocument/2006/relationships/worksheet" Target="/xl/worksheets/sheet6.xml" Id="Re255f7d42d94427c" /><Relationship Type="http://schemas.openxmlformats.org/officeDocument/2006/relationships/worksheet" Target="/xl/worksheets/sheet7.xml" Id="R63018bb4b4874d74" /><Relationship Type="http://schemas.openxmlformats.org/officeDocument/2006/relationships/worksheet" Target="/xl/worksheets/sheet8.xml" Id="Rdce095ccdb74430c" /><Relationship Type="http://schemas.openxmlformats.org/officeDocument/2006/relationships/worksheet" Target="/xl/worksheets/sheet9.xml" Id="Rfd1a557d0b324645" /><Relationship Type="http://schemas.openxmlformats.org/officeDocument/2006/relationships/worksheet" Target="/xl/worksheets/sheet10.xml" Id="R197b742e322d4fb7" /></Relationships>
</file>

<file path=xl/tables/table1.xml><?xml version="1.0" encoding="utf-8"?>
<x:table xmlns:x="http://schemas.openxmlformats.org/spreadsheetml/2006/main" id="1" name="PlanRulesTable" displayName="PlanRulesTable" ref="A5:D11" headerRowCount="1" totalsRowCount="0" totalsRowShown="0">
  <x:autoFilter ref="A5:D11"/>
  <x:tableColumns count="4">
    <x:tableColumn id="1" name="Rule"/>
    <x:tableColumn id="2" name="Meaning"/>
    <x:tableColumn id="3" name="Required behavior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cussionLogTable" displayName="DiscussionLogTable" ref="A5:G24" headerRowCount="1" totalsRowCount="0" totalsRowShown="0">
  <x:autoFilter ref="A5:G24"/>
  <x:tableColumns count="7">
    <x:tableColumn id="1" name="Date"/>
    <x:tableColumn id="2" name="Area"/>
    <x:tableColumn id="3" name="User direction / discussion"/>
    <x:tableColumn id="4" name="Current proposed implementation"/>
    <x:tableColumn id="5" name="Disposition"/>
    <x:tableColumn id="6" name="Affected scope"/>
    <x:tableColumn id="7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ctionPlanningTable" displayName="SectionPlanningTable" ref="A5:I28" headerRowCount="1" totalsRowCount="0" totalsRowShown="0">
  <x:autoFilter ref="A5:I28"/>
  <x:tableColumns count="9">
    <x:tableColumn id="1" name="Section"/>
    <x:tableColumn id="2" name="Title"/>
    <x:tableColumn id="3" name="Purpose"/>
    <x:tableColumn id="4" name="Units"/>
    <x:tableColumn id="5" name="Dependencies"/>
    <x:tableColumn id="6" name="Milestone"/>
    <x:tableColumn id="7" name="Planning status"/>
    <x:tableColumn id="8" name="Priority"/>
    <x:tableColumn id="9" name="SSOT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bPlanningTable" displayName="LabPlanningTable" ref="A5:G17" headerRowCount="1" totalsRowCount="0" totalsRowShown="0">
  <x:autoFilter ref="A5:G17"/>
  <x:tableColumns count="7">
    <x:tableColumn id="1" name="Topic"/>
    <x:tableColumn id="2" name="Current proposal"/>
    <x:tableColumn id="3" name="Alternative / issue"/>
    <x:tableColumn id="4" name="Impact"/>
    <x:tableColumn id="5" name="Recommended resolution"/>
    <x:tableColumn id="6" name="Priority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shopPlanningTable" displayName="WorkshopPlanningTable" ref="A5:H23" headerRowCount="1" totalsRowCount="0" totalsRowShown="0">
  <x:autoFilter ref="A5:H23"/>
  <x:tableColumns count="8">
    <x:tableColumn id="1" name="ID"/>
    <x:tableColumn id="2" name="Journey event"/>
    <x:tableColumn id="3" name="Readiness"/>
    <x:tableColumn id="4" name="Practical mission"/>
    <x:tableColumn id="5" name="Failure design"/>
    <x:tableColumn id="6" name="Evidence"/>
    <x:tableColumn id="7" name="Skip checkpoint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penQuestionsTable" displayName="OpenQuestionsTable" ref="A5:H13" headerRowCount="1" totalsRowCount="0" totalsRowShown="0">
  <x:autoFilter ref="A5:H13"/>
  <x:tableColumns count="8">
    <x:tableColumn id="1" name="ID"/>
    <x:tableColumn id="2" name="Decision"/>
    <x:tableColumn id="3" name="Question"/>
    <x:tableColumn id="4" name="Recommended option"/>
    <x:tableColumn id="5" name="Alternative"/>
    <x:tableColumn id="6" name="Impact"/>
    <x:tableColumn id="7" name="Priority"/>
    <x:tableColumn id="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cisionRegisterTable" displayName="DecisionRegisterTable" ref="A5:H19" headerRowCount="1" totalsRowCount="0" totalsRowShown="0">
  <x:autoFilter ref="A5:H19"/>
  <x:tableColumns count="8">
    <x:tableColumn id="1" name="ID"/>
    <x:tableColumn id="2" name="Decision area"/>
    <x:tableColumn id="3" name="Proposed decision"/>
    <x:tableColumn id="4" name="Rationale"/>
    <x:tableColumn id="5" name="Affected sheets/sections"/>
    <x:tableColumn id="6" name="Status"/>
    <x:tableColumn id="7" name="Approval reference"/>
    <x:tableColumn id="8" name="Next 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ChecklistTable" displayName="ReviewChecklistTable" ref="A5:F17" headerRowCount="1" totalsRowCount="0" totalsRowShown="0">
  <x:autoFilter ref="A5:F17"/>
  <x:tableColumns count="6">
    <x:tableColumn id="1" name="Area"/>
    <x:tableColumn id="2" name="Review question"/>
    <x:tableColumn id="3" name="Evidence required"/>
    <x:tableColumn id="4" name="Owner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LogTable" displayName="ChangeLogTable" ref="A5:F9" headerRowCount="1" totalsRowCount="0" totalsRowShown="0">
  <x:autoFilter ref="A5:F9"/>
  <x:tableColumns count="6">
    <x:tableColumn id="1" name="Version"/>
    <x:tableColumn id="2" name="Date"/>
    <x:tableColumn id="3" name="Change"/>
    <x:tableColumn id="4" name="Reason"/>
    <x:tableColumn id="5" name="Affected area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d375128cdf4a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10d97660d944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387600577f43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7130dadd1045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892008b1de48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858e57e6cb47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1bbb8e54774c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52efd9872241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1228f18f53141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3" t="str">
        <x:v>Journey with AnandTech — Course &amp; Lab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6" t="str">
        <x:v>Mutable planning workbook: records proposals, alternatives, unresolved decisions, and review status; never overrides a locked SSOT.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9" t="str">
        <x:v>Discussions logged</x:v>
      </x:c>
      <x:c r="B4" s="9"/>
      <x:c r="C4" s="9"/>
      <x:c r="D4" s="9" t="str">
        <x:v>Open questions</x:v>
      </x:c>
      <x:c r="E4" s="9"/>
      <x:c r="F4" s="9"/>
      <x:c r="G4" s="9" t="str">
        <x:v>Critical items</x:v>
      </x:c>
      <x:c r="H4" s="9"/>
      <x:c r="I4" s="9"/>
      <x:c r="J4" s="9" t="str">
        <x:v>Sections in design</x:v>
      </x:c>
      <x:c r="K4" s="9"/>
      <x:c r="L4" s="9"/>
    </x:row>
    <x:row r="5">
      <x:c r="A5" s="24" t="n">
        <x:f>COUNTA('Discussion Log'!$A$6:$A$100)</x:f>
        <x:v>19</x:v>
      </x:c>
      <x:c r="B5" s="25"/>
      <x:c r="C5" s="26"/>
      <x:c r="D5" s="24" t="n">
        <x:f>COUNTIF('Open Questions'!$H$6:$H$100,"Open")</x:f>
        <x:v>8</x:v>
      </x:c>
      <x:c r="E5" s="25"/>
      <x:c r="F5" s="26"/>
      <x:c r="G5" s="24" t="n">
        <x:f>COUNTIF('Discussion Log'!$G$6:$G$100,"Critical")</x:f>
        <x:v>12</x:v>
      </x:c>
      <x:c r="H5" s="25"/>
      <x:c r="I5" s="26"/>
      <x:c r="J5" s="24" t="n">
        <x:f>COUNTIF('Section Planning'!$G$6:$G$50,"Design next")</x:f>
        <x:v>6</x:v>
      </x:c>
      <x:c r="K5" s="25"/>
      <x:c r="L5" s="26"/>
    </x:row>
    <x:row r="6">
      <x:c r="A6" s="27"/>
      <x:c r="B6" s="28"/>
      <x:c r="C6" s="29"/>
      <x:c r="D6" s="27"/>
      <x:c r="E6" s="28"/>
      <x:c r="F6" s="29"/>
      <x:c r="G6" s="27"/>
      <x:c r="H6" s="28"/>
      <x:c r="I6" s="29"/>
      <x:c r="J6" s="27"/>
      <x:c r="K6" s="28"/>
      <x:c r="L6" s="29"/>
    </x:row>
    <x:row r="9">
      <x:c r="A9" s="30" t="str">
        <x:v>Planning workflow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</x:row>
    <x:row r="11">
      <x:c r="A11" s="8" t="str">
        <x:v>Stage</x:v>
      </x:c>
      <x:c r="B11" s="8" t="str">
        <x:v>Meaning</x:v>
      </x:c>
      <x:c r="C11" s="8" t="str">
        <x:v>Output</x:v>
      </x:c>
      <x:c r="E11" s="8" t="str">
        <x:v>Current planning focus</x:v>
      </x:c>
      <x:c r="F11" s="8"/>
      <x:c r="G11" s="8"/>
      <x:c r="H11" s="8"/>
      <x:c r="I11" s="8"/>
      <x:c r="J11" s="8"/>
      <x:c r="K11" s="8"/>
      <x:c r="L11" s="8"/>
      <x:c r="M11" s="8"/>
    </x:row>
    <x:row r="12">
      <x:c r="A12" s="34" t="str">
        <x:v>Discuss</x:v>
      </x:c>
      <x:c r="B12" s="34" t="str">
        <x:v>Capture ideas and alternatives</x:v>
      </x:c>
      <x:c r="C12" s="34" t="str">
        <x:v>PLAN workbook</x:v>
      </x:c>
      <x:c r="E12" s="55" t="str">
        <x:v>1. Resolve the host-only IP plan and bridged-versus-NAT fallback.
2. Review and lock the course section sequence.
3. Design Section 00 or Section 03 in full SSOT detail.
4. Keep all workshop milestones skip-safe.
5. Do not treat this PLAN workbook as locked authority.</x:v>
      </x:c>
      <x:c r="F12" s="56"/>
      <x:c r="G12" s="56"/>
      <x:c r="H12" s="56"/>
      <x:c r="I12" s="56"/>
      <x:c r="J12" s="56"/>
      <x:c r="K12" s="56"/>
      <x:c r="L12" s="56"/>
      <x:c r="M12" s="57"/>
    </x:row>
    <x:row r="13">
      <x:c r="A13" s="35" t="str">
        <x:v>Resolve</x:v>
      </x:c>
      <x:c r="B13" s="35" t="str">
        <x:v>Decide open questions and trade-offs</x:v>
      </x:c>
      <x:c r="C13" s="35" t="str">
        <x:v>Decision register</x:v>
      </x:c>
      <x:c r="E13" s="58"/>
      <x:c r="F13" s="59"/>
      <x:c r="G13" s="59"/>
      <x:c r="H13" s="59"/>
      <x:c r="I13" s="59"/>
      <x:c r="J13" s="59"/>
      <x:c r="K13" s="59"/>
      <x:c r="L13" s="59"/>
      <x:c r="M13" s="60"/>
    </x:row>
    <x:row r="14">
      <x:c r="A14" s="35" t="str">
        <x:v>Draft</x:v>
      </x:c>
      <x:c r="B14" s="35" t="str">
        <x:v>Convert accepted direction into exact scope</x:v>
      </x:c>
      <x:c r="C14" s="35" t="str">
        <x:v>Section SSOT draft</x:v>
      </x:c>
      <x:c r="E14" s="58"/>
      <x:c r="F14" s="59"/>
      <x:c r="G14" s="59"/>
      <x:c r="H14" s="59"/>
      <x:c r="I14" s="59"/>
      <x:c r="J14" s="59"/>
      <x:c r="K14" s="59"/>
      <x:c r="L14" s="59"/>
      <x:c r="M14" s="60"/>
    </x:row>
    <x:row r="15">
      <x:c r="A15" s="35" t="str">
        <x:v>Lock</x:v>
      </x:c>
      <x:c r="B15" s="35" t="str">
        <x:v>User explicitly approves the authoritative plan</x:v>
      </x:c>
      <x:c r="C15" s="35" t="str">
        <x:v>Locked SSOT</x:v>
      </x:c>
      <x:c r="E15" s="58"/>
      <x:c r="F15" s="59"/>
      <x:c r="G15" s="59"/>
      <x:c r="H15" s="59"/>
      <x:c r="I15" s="59"/>
      <x:c r="J15" s="59"/>
      <x:c r="K15" s="59"/>
      <x:c r="L15" s="59"/>
      <x:c r="M15" s="60"/>
    </x:row>
    <x:row r="16">
      <x:c r="A16" s="35" t="str">
        <x:v>Generate</x:v>
      </x:c>
      <x:c r="B16" s="35" t="str">
        <x:v>Author only the requested units and artifacts</x:v>
      </x:c>
      <x:c r="C16" s="35" t="str">
        <x:v>Reviewable content</x:v>
      </x:c>
      <x:c r="E16" s="58"/>
      <x:c r="F16" s="59"/>
      <x:c r="G16" s="59"/>
      <x:c r="H16" s="59"/>
      <x:c r="I16" s="59"/>
      <x:c r="J16" s="59"/>
      <x:c r="K16" s="59"/>
      <x:c r="L16" s="59"/>
      <x:c r="M16" s="60"/>
    </x:row>
    <x:row r="17">
      <x:c r="A17" s="36" t="str">
        <x:v>Validate</x:v>
      </x:c>
      <x:c r="B17" s="36" t="str">
        <x:v>Technical, learning, scope, and editorial review</x:v>
      </x:c>
      <x:c r="C17" s="36" t="str">
        <x:v>Acceptance evidence</x:v>
      </x:c>
      <x:c r="E17" s="61"/>
      <x:c r="F17" s="62"/>
      <x:c r="G17" s="62"/>
      <x:c r="H17" s="62"/>
      <x:c r="I17" s="62"/>
      <x:c r="J17" s="62"/>
      <x:c r="K17" s="62"/>
      <x:c r="L17" s="62"/>
      <x:c r="M17" s="63"/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L4"/>
    <x:mergeCell ref="J5:L6"/>
    <x:mergeCell ref="A9:M9"/>
    <x:mergeCell ref="E11:M11"/>
    <x:mergeCell ref="E12:M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0" hidden="0" customWidth="1"/>
    <x:col min="3" max="3" width="62" hidden="0" customWidth="1"/>
    <x:col min="4" max="4" width="15" hidden="0" customWidth="1"/>
  </x:cols>
  <x:sheetData>
    <x:row r="1" ht="28" customHeight="1">
      <x:c r="A1" s="65" t="str">
        <x:v>PLAN Workbook Rules</x:v>
      </x:c>
      <x:c r="B1" s="65"/>
      <x:c r="C1" s="65"/>
      <x:c r="D1" s="65"/>
    </x:row>
    <x:row r="2" ht="30" customHeight="1">
      <x:c r="A2" s="68" t="str">
        <x:v>How discussions move from proposal to locked SSOT without silent authority changes.</x:v>
      </x:c>
      <x:c r="B2" s="68"/>
      <x:c r="C2" s="68"/>
      <x:c r="D2" s="68"/>
    </x:row>
    <x:row r="3" ht="30" customHeight="1">
      <x:c r="A3" s="71" t="str">
        <x:v>This workbook may contain conflicting alternatives. Only a locked SSOT can authorize final curriculum generation.</x:v>
      </x:c>
      <x:c r="B3" s="71"/>
      <x:c r="C3" s="71"/>
      <x:c r="D3" s="71"/>
    </x:row>
    <x:row r="5" ht="30" customHeight="1">
      <x:c r="A5" s="78" t="str">
        <x:v>Rule</x:v>
      </x:c>
      <x:c r="B5" s="79" t="str">
        <x:v>Meaning</x:v>
      </x:c>
      <x:c r="C5" s="79" t="str">
        <x:v>Required behavior</x:v>
      </x:c>
      <x:c r="D5" s="80" t="str">
        <x:v>Status</x:v>
      </x:c>
    </x:row>
    <x:row r="6">
      <x:c r="A6" s="88" t="str">
        <x:v>PLAN is mutable</x:v>
      </x:c>
      <x:c r="B6" s="88" t="str">
        <x:v>Capture discussion, alternatives, rejected ideas, and unresolved choices</x:v>
      </x:c>
      <x:c r="C6" s="88" t="str">
        <x:v>Update during course design</x:v>
      </x:c>
      <x:c r="D6" s="88" t="str">
        <x:v>Active</x:v>
      </x:c>
    </x:row>
    <x:row r="7">
      <x:c r="A7" s="89" t="str">
        <x:v>SSOT is final</x:v>
      </x:c>
      <x:c r="B7" s="89" t="str">
        <x:v>Contains the approved scope, order, labs, artifacts, assessments, and package name</x:v>
      </x:c>
      <x:c r="C7" s="89" t="str">
        <x:v>Lock only after explicit approval</x:v>
      </x:c>
      <x:c r="D7" s="89" t="str">
        <x:v>Active</x:v>
      </x:c>
    </x:row>
    <x:row r="8">
      <x:c r="A8" s="89" t="str">
        <x:v>No silent promotion</x:v>
      </x:c>
      <x:c r="B8" s="89" t="str">
        <x:v>An accepted direction in PLAN is not automatically locked</x:v>
      </x:c>
      <x:c r="C8" s="89" t="str">
        <x:v>Create/revise SSOT and request lock</x:v>
      </x:c>
      <x:c r="D8" s="89" t="str">
        <x:v>Active</x:v>
      </x:c>
    </x:row>
    <x:row r="9">
      <x:c r="A9" s="89" t="str">
        <x:v>One section at a time</x:v>
      </x:c>
      <x:c r="B9" s="89" t="str">
        <x:v>Course-wide map may exist, but deep authoring proceeds section by section</x:v>
      </x:c>
      <x:c r="C9" s="89" t="str">
        <x:v>Do not generate the next section before acceptance</x:v>
      </x:c>
      <x:c r="D9" s="89" t="str">
        <x:v>Active</x:v>
      </x:c>
    </x:row>
    <x:row r="10">
      <x:c r="A10" s="89" t="str">
        <x:v>Conflict visibility</x:v>
      </x:c>
      <x:c r="B10" s="89" t="str">
        <x:v>Keep disagreements and stale proposals visible</x:v>
      </x:c>
      <x:c r="C10" s="89" t="str">
        <x:v>Resolve explicitly before authoring</x:v>
      </x:c>
      <x:c r="D10" s="89" t="str">
        <x:v>Active</x:v>
      </x:c>
    </x:row>
    <x:row r="11">
      <x:c r="A11" s="90" t="str">
        <x:v>Examples are non-authoritative</x:v>
      </x:c>
      <x:c r="B11" s="90" t="str">
        <x:v>Examples provide continuity or quality evidence only</x:v>
      </x:c>
      <x:c r="C11" s="90" t="str">
        <x:v>Never use examples to override locked scope</x:v>
      </x:c>
      <x:c r="D11" s="90" t="str">
        <x:v>Active</x:v>
      </x:c>
    </x:row>
  </x:sheetData>
  <x:mergeCells>
    <x:mergeCell ref="A1:D1"/>
    <x:mergeCell ref="A2:D2"/>
    <x:mergeCell ref="A3:D3"/>
  </x:mergeCells>
  <x:conditionalFormatting sqref="D6:D11">
    <x:cfRule type="containsText" dxfId="0" priority="1" operator="containsText" text="Locked"/>
    <x:cfRule type="containsText" dxfId="1" priority="2" operator="containsText" text="Unresolved"/>
    <x:cfRule type="containsText" dxfId="2" priority="3" operator="containsText" text="Pending"/>
  </x:conditionalFormatting>
  <x:dataValidations count="1">
    <x:dataValidation type="list" sqref="D6:D11">
      <x:formula1>"Active,Deprecated"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d375128cdf4a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66" hidden="0" customWidth="1"/>
    <x:col min="4" max="4" width="72" hidden="0" customWidth="1"/>
    <x:col min="5" max="5" width="23" hidden="0" customWidth="1"/>
    <x:col min="6" max="6" width="30" hidden="0" customWidth="1"/>
    <x:col min="7" max="7" width="14" hidden="0" customWidth="1"/>
  </x:cols>
  <x:sheetData>
    <x:row r="1" ht="28" customHeight="1">
      <x:c r="A1" s="65" t="str">
        <x:v>Course Discussion Log</x:v>
      </x:c>
      <x:c r="B1" s="65"/>
      <x:c r="C1" s="65"/>
      <x:c r="D1" s="65"/>
      <x:c r="E1" s="65"/>
      <x:c r="F1" s="65"/>
      <x:c r="G1" s="65"/>
    </x:row>
    <x:row r="2" ht="30" customHeight="1">
      <x:c r="A2" s="68" t="str">
        <x:v>Section-wise record of requests, proposed implementation, disposition, and impact.</x:v>
      </x:c>
      <x:c r="B2" s="68"/>
      <x:c r="C2" s="68"/>
      <x:c r="D2" s="68"/>
      <x:c r="E2" s="68"/>
      <x:c r="F2" s="68"/>
      <x:c r="G2" s="68"/>
    </x:row>
    <x:row r="3" ht="30" customHeight="1">
      <x:c r="A3" s="71" t="str">
        <x:v>Add new discussion rows rather than rewriting history. Use the decision register to record the final resolution.</x:v>
      </x:c>
      <x:c r="B3" s="71"/>
      <x:c r="C3" s="71"/>
      <x:c r="D3" s="71"/>
      <x:c r="E3" s="71"/>
      <x:c r="F3" s="71"/>
      <x:c r="G3" s="71"/>
    </x:row>
    <x:row r="5" ht="30" customHeight="1">
      <x:c r="A5" s="78" t="str">
        <x:v>Date</x:v>
      </x:c>
      <x:c r="B5" s="79" t="str">
        <x:v>Area</x:v>
      </x:c>
      <x:c r="C5" s="79" t="str">
        <x:v>User direction / discussion</x:v>
      </x:c>
      <x:c r="D5" s="79" t="str">
        <x:v>Current proposed implementation</x:v>
      </x:c>
      <x:c r="E5" s="79" t="str">
        <x:v>Disposition</x:v>
      </x:c>
      <x:c r="F5" s="79" t="str">
        <x:v>Affected scope</x:v>
      </x:c>
      <x:c r="G5" s="80" t="str">
        <x:v>Priority</x:v>
      </x:c>
    </x:row>
    <x:row r="6">
      <x:c r="A6" s="88" t="str">
        <x:v>2026-09-01</x:v>
      </x:c>
      <x:c r="B6" s="88" t="str">
        <x:v>Course structure</x:v>
      </x:c>
      <x:c r="C6" s="88" t="str">
        <x:v>Create sections, units, and topics for the complete zero-to-production journey</x:v>
      </x:c>
      <x:c r="D6" s="88" t="str">
        <x:v>Retain detailed course map and develop one section at a time</x:v>
      </x:c>
      <x:c r="E6" s="88" t="str">
        <x:v>Accepted direction</x:v>
      </x:c>
      <x:c r="F6" s="88" t="str">
        <x:v>Course Map</x:v>
      </x:c>
      <x:c r="G6" s="88" t="str">
        <x:v>High</x:v>
      </x:c>
    </x:row>
    <x:row r="7">
      <x:c r="A7" s="89" t="str">
        <x:v>2026-09-01</x:v>
      </x:c>
      <x:c r="B7" s="89" t="str">
        <x:v>Linux</x:v>
      </x:c>
      <x:c r="C7" s="89" t="str">
        <x:v>Make Linux substantially more detailed and cover systemd</x:v>
      </x:c>
      <x:c r="D7" s="89" t="str">
        <x:v>Expand Linux to 33 units and three milestones</x:v>
      </x:c>
      <x:c r="E7" s="89" t="str">
        <x:v>Accepted direction</x:v>
      </x:c>
      <x:c r="F7" s="89" t="str">
        <x:v>Section 04</x:v>
      </x:c>
      <x:c r="G7" s="89" t="str">
        <x:v>Critical</x:v>
      </x:c>
    </x:row>
    <x:row r="8">
      <x:c r="A8" s="89" t="str">
        <x:v>2026-09-01</x:v>
      </x:c>
      <x:c r="B8" s="89" t="str">
        <x:v>Grep</x:v>
      </x:c>
      <x:c r="C8" s="89" t="str">
        <x:v>Grep is important and needs its own mini-unit with many exercises</x:v>
      </x:c>
      <x:c r="D8" s="89" t="str">
        <x:v>Dedicated workshop with 40+ progressive exercises and reuse later</x:v>
      </x:c>
      <x:c r="E8" s="89" t="str">
        <x:v>Accepted direction</x:v>
      </x:c>
      <x:c r="F8" s="89" t="str">
        <x:v>Section 04 Unit 11</x:v>
      </x:c>
      <x:c r="G8" s="89" t="str">
        <x:v>Critical</x:v>
      </x:c>
    </x:row>
    <x:row r="9">
      <x:c r="A9" s="89" t="str">
        <x:v>2026-09-01</x:v>
      </x:c>
      <x:c r="B9" s="89" t="str">
        <x:v>Distributions</x:v>
      </x:c>
      <x:c r="C9" s="89" t="str">
        <x:v>Compare Alpine, Debian, Ubuntu, RHEL, Arch, and required alternatives</x:v>
      </x:c>
      <x:c r="D9" s="89" t="str">
        <x:v>Concept unit plus comparison workshop across nine families</x:v>
      </x:c>
      <x:c r="E9" s="89" t="str">
        <x:v>Accepted direction</x:v>
      </x:c>
      <x:c r="F9" s="89" t="str">
        <x:v>Section 04 Units 02-03</x:v>
      </x:c>
      <x:c r="G9" s="89" t="str">
        <x:v>High</x:v>
      </x:c>
    </x:row>
    <x:row r="10">
      <x:c r="A10" s="89" t="str">
        <x:v>2026-09-01</x:v>
      </x:c>
      <x:c r="B10" s="89" t="str">
        <x:v>Development insight</x:v>
      </x:c>
      <x:c r="C10" s="89" t="str">
        <x:v>Teach enough development for DevOps engineers without creating a development course</x:v>
      </x:c>
      <x:c r="D10" s="89" t="str">
        <x:v>Hello World to Todo using HTML/CSS/JS, FastAPI, PostgreSQL/pgvector</x:v>
      </x:c>
      <x:c r="E10" s="89" t="str">
        <x:v>Accepted direction</x:v>
      </x:c>
      <x:c r="F10" s="89" t="str">
        <x:v>Section 05</x:v>
      </x:c>
      <x:c r="G10" s="89" t="str">
        <x:v>Critical</x:v>
      </x:c>
    </x:row>
    <x:row r="11">
      <x:c r="A11" s="89" t="str">
        <x:v>2026-09-01</x:v>
      </x:c>
      <x:c r="B11" s="89" t="str">
        <x:v>IDE</x:v>
      </x:c>
      <x:c r="C11" s="89" t="str">
        <x:v>Add IDE installation and environment setup</x:v>
      </x:c>
      <x:c r="D11" s="89" t="str">
        <x:v>VS Code, terminal, devtools, Python venv, Remote SSH</x:v>
      </x:c>
      <x:c r="E11" s="89" t="str">
        <x:v>Accepted direction</x:v>
      </x:c>
      <x:c r="F11" s="89" t="str">
        <x:v>Section 05 Unit 02</x:v>
      </x:c>
      <x:c r="G11" s="89" t="str">
        <x:v>High</x:v>
      </x:c>
    </x:row>
    <x:row r="12">
      <x:c r="A12" s="89" t="str">
        <x:v>2026-09-01</x:v>
      </x:c>
      <x:c r="B12" s="89" t="str">
        <x:v>VirtualBox</x:v>
      </x:c>
      <x:c r="C12" s="89" t="str">
        <x:v>Create a dedicated VM installation, management, automation, and initial lab section</x:v>
      </x:c>
      <x:c r="D12" s="89" t="str">
        <x:v>14-unit VirtualBox section before Linux</x:v>
      </x:c>
      <x:c r="E12" s="89" t="str">
        <x:v>Accepted direction</x:v>
      </x:c>
      <x:c r="F12" s="89" t="str">
        <x:v>Section 03</x:v>
      </x:c>
      <x:c r="G12" s="89" t="str">
        <x:v>Critical</x:v>
      </x:c>
    </x:row>
    <x:row r="13">
      <x:c r="A13" s="89" t="str">
        <x:v>2026-09-01</x:v>
      </x:c>
      <x:c r="B13" s="89" t="str">
        <x:v>Vagrant</x:v>
      </x:c>
      <x:c r="C13" s="89" t="str">
        <x:v>Overview plus Vagrant code, Python, and PowerShell examples</x:v>
      </x:c>
      <x:c r="D13" s="89" t="str">
        <x:v>Purpose, trade-offs, single/multi-machine examples, wrapper automation</x:v>
      </x:c>
      <x:c r="E13" s="89" t="str">
        <x:v>Accepted direction</x:v>
      </x:c>
      <x:c r="F13" s="89" t="str">
        <x:v>Section 03 Units 11-13</x:v>
      </x:c>
      <x:c r="G13" s="89" t="str">
        <x:v>High</x:v>
      </x:c>
    </x:row>
    <x:row r="14">
      <x:c r="A14" s="89" t="str">
        <x:v>2026-09-01</x:v>
      </x:c>
      <x:c r="B14" s="89" t="str">
        <x:v>Lab roles</x:v>
      </x:c>
      <x:c r="C14" s="89" t="str">
        <x:v>Alpine web01; Debian cicd01; Debian mon01</x:v>
      </x:c>
      <x:c r="D14" s="89" t="str">
        <x:v>Retain roles and progressively install services in their owning sections</x:v>
      </x:c>
      <x:c r="E14" s="89" t="str">
        <x:v>Accepted direction</x:v>
      </x:c>
      <x:c r="F14" s="89" t="str">
        <x:v>Lab Architecture</x:v>
      </x:c>
      <x:c r="G14" s="89" t="str">
        <x:v>Critical</x:v>
      </x:c>
    </x:row>
    <x:row r="15">
      <x:c r="A15" s="89" t="str">
        <x:v>2026-09-01</x:v>
      </x:c>
      <x:c r="B15" s="89" t="str">
        <x:v>Networking</x:v>
      </x:c>
      <x:c r="C15" s="89" t="str">
        <x:v>Bridged Internet plus host-only management, persistent and SSH-accessible</x:v>
      </x:c>
      <x:c r="D15" s="89" t="str">
        <x:v>Two adapters; one default route; reboot verification; exposure guidance</x:v>
      </x:c>
      <x:c r="E15" s="89" t="str">
        <x:v>Accepted direction</x:v>
      </x:c>
      <x:c r="F15" s="89" t="str">
        <x:v>Lab Standards</x:v>
      </x:c>
      <x:c r="G15" s="89" t="str">
        <x:v>Critical</x:v>
      </x:c>
    </x:row>
    <x:row r="16">
      <x:c r="A16" s="89" t="str">
        <x:v>2026-09-01</x:v>
      </x:c>
      <x:c r="B16" s="89" t="str">
        <x:v>IP allocation</x:v>
      </x:c>
      <x:c r="C16" s="89" t="str">
        <x:v>Requested web01 .1, cicd01 .2, mon01 .3</x:v>
      </x:c>
      <x:c r="D16" s="89" t="str">
        <x:v>Recommend host .1 and VMs .11/.12/.13</x:v>
      </x:c>
      <x:c r="E16" s="89" t="str">
        <x:v>Open</x:v>
      </x:c>
      <x:c r="F16" s="89" t="str">
        <x:v>Lab Architecture</x:v>
      </x:c>
      <x:c r="G16" s="89" t="str">
        <x:v>Critical</x:v>
      </x:c>
    </x:row>
    <x:row r="17">
      <x:c r="A17" s="89" t="str">
        <x:v>2026-09-01</x:v>
      </x:c>
      <x:c r="B17" s="89" t="str">
        <x:v>Progressive labs</x:v>
      </x:c>
      <x:c r="C17" s="89" t="str">
        <x:v>Install tools as the story reaches their sections</x:v>
      </x:c>
      <x:c r="D17" s="89" t="str">
        <x:v>Nginx in development/web; Git in Git; Jenkins in CI/CD; Prometheus/Grafana in monitoring</x:v>
      </x:c>
      <x:c r="E17" s="89" t="str">
        <x:v>Accepted direction</x:v>
      </x:c>
      <x:c r="F17" s="89" t="str">
        <x:v>Workshop Journey</x:v>
      </x:c>
      <x:c r="G17" s="89" t="str">
        <x:v>High</x:v>
      </x:c>
    </x:row>
    <x:row r="18">
      <x:c r="A18" s="89" t="str">
        <x:v>2026-09-01</x:v>
      </x:c>
      <x:c r="B18" s="89" t="str">
        <x:v>Secure transfer</x:v>
      </x:c>
      <x:c r="C18" s="89" t="str">
        <x:v>Add SCP</x:v>
      </x:c>
      <x:c r="D18" s="89" t="str">
        <x:v>Dedicated SSH/SCP/SFTP/Rsync section and release workshop</x:v>
      </x:c>
      <x:c r="E18" s="89" t="str">
        <x:v>Accepted direction</x:v>
      </x:c>
      <x:c r="F18" s="89" t="str">
        <x:v>Section 10</x:v>
      </x:c>
      <x:c r="G18" s="89" t="str">
        <x:v>High</x:v>
      </x:c>
    </x:row>
    <x:row r="19">
      <x:c r="A19" s="89" t="str">
        <x:v>2026-09-01</x:v>
      </x:c>
      <x:c r="B19" s="89" t="str">
        <x:v>Ordering</x:v>
      </x:c>
      <x:c r="C19" s="89" t="str">
        <x:v>Put the web/development part after Linux</x:v>
      </x:c>
      <x:c r="D19" s="89" t="str">
        <x:v>VirtualBox → Linux → Development Insight → Networking</x:v>
      </x:c>
      <x:c r="E19" s="89" t="str">
        <x:v>Accepted direction</x:v>
      </x:c>
      <x:c r="F19" s="89" t="str">
        <x:v>Course order</x:v>
      </x:c>
      <x:c r="G19" s="89" t="str">
        <x:v>Critical</x:v>
      </x:c>
    </x:row>
    <x:row r="20">
      <x:c r="A20" s="89" t="str">
        <x:v>2026-09-01</x:v>
      </x:c>
      <x:c r="B20" s="89" t="str">
        <x:v>Story</x:v>
      </x:c>
      <x:c r="C20" s="89" t="str">
        <x:v>Main course should feel like a comic book and the labs should be practical</x:v>
      </x:c>
      <x:c r="D20" s="89" t="str">
        <x:v>Episode structure with incident openings, questions, misconceptions, decisions, and close</x:v>
      </x:c>
      <x:c r="E20" s="89" t="str">
        <x:v>Accepted direction</x:v>
      </x:c>
      <x:c r="F20" s="89" t="str">
        <x:v>Quality Standards</x:v>
      </x:c>
      <x:c r="G20" s="89" t="str">
        <x:v>Critical</x:v>
      </x:c>
    </x:row>
    <x:row r="21">
      <x:c r="A21" s="89" t="str">
        <x:v>2026-09-01</x:v>
      </x:c>
      <x:c r="B21" s="89" t="str">
        <x:v>Workshop</x:v>
      </x:c>
      <x:c r="C21" s="89" t="str">
        <x:v>Run optional industrial labs in parallel after learners complete enough units</x:v>
      </x:c>
      <x:c r="D21" s="89" t="str">
        <x:v>M00-M17 milestone journey with full/guided/skip modes</x:v>
      </x:c>
      <x:c r="E21" s="89" t="str">
        <x:v>Accepted direction</x:v>
      </x:c>
      <x:c r="F21" s="89" t="str">
        <x:v>Workshop Milestones</x:v>
      </x:c>
      <x:c r="G21" s="89" t="str">
        <x:v>Critical</x:v>
      </x:c>
    </x:row>
    <x:row r="22">
      <x:c r="A22" s="89" t="str">
        <x:v>2026-09-01</x:v>
      </x:c>
      <x:c r="B22" s="89" t="str">
        <x:v>Failure learning</x:v>
      </x:c>
      <x:c r="C22" s="89" t="str">
        <x:v>Use failures, Q&amp;A, and misunderstandings to create hands-on experience</x:v>
      </x:c>
      <x:c r="D22" s="89" t="str">
        <x:v>Failure-card system and evidence-based investigation contract</x:v>
      </x:c>
      <x:c r="E22" s="89" t="str">
        <x:v>Accepted direction</x:v>
      </x:c>
      <x:c r="F22" s="89" t="str">
        <x:v>Lab Design</x:v>
      </x:c>
      <x:c r="G22" s="89" t="str">
        <x:v>Critical</x:v>
      </x:c>
    </x:row>
    <x:row r="23">
      <x:c r="A23" s="89" t="str">
        <x:v>2026-09-01</x:v>
      </x:c>
      <x:c r="B23" s="89" t="str">
        <x:v>Calendar</x:v>
      </x:c>
      <x:c r="C23" s="89" t="str">
        <x:v>Add a calendar artifact that maintains the story timeline</x:v>
      </x:c>
      <x:c r="D23" s="89" t="str">
        <x:v>Dual learner/story timeline over a recommended 40-week journey</x:v>
      </x:c>
      <x:c r="E23" s="89" t="str">
        <x:v>Accepted direction</x:v>
      </x:c>
      <x:c r="F23" s="89" t="str">
        <x:v>Story Calendar</x:v>
      </x:c>
      <x:c r="G23" s="89" t="str">
        <x:v>High</x:v>
      </x:c>
    </x:row>
    <x:row r="24">
      <x:c r="A24" s="90" t="str">
        <x:v>2026-09-01</x:v>
      </x:c>
      <x:c r="B24" s="90" t="str">
        <x:v>PLAN versus SSOT</x:v>
      </x:c>
      <x:c r="C24" s="90" t="str">
        <x:v>PLAN is discussion; SSOT is final authority</x:v>
      </x:c>
      <x:c r="D24" s="90" t="str">
        <x:v>Keep mutable planning and decision registers separate from locked files</x:v>
      </x:c>
      <x:c r="E24" s="90" t="str">
        <x:v>Accepted direction</x:v>
      </x:c>
      <x:c r="F24" s="90" t="str">
        <x:v>Governance</x:v>
      </x:c>
      <x:c r="G24" s="90" t="str">
        <x:v>Critical</x:v>
      </x:c>
    </x:row>
  </x:sheetData>
  <x:mergeCells>
    <x:mergeCell ref="A1:G1"/>
    <x:mergeCell ref="A2:G2"/>
    <x:mergeCell ref="A3:G3"/>
  </x:mergeCells>
  <x:conditionalFormatting sqref="G6:G24">
    <x:cfRule type="containsText" dxfId="3" priority="1" operator="containsText" text="Critical"/>
    <x:cfRule type="containsText" dxfId="4" priority="2" operator="containsText" text="High"/>
  </x:conditionalFormatting>
  <x:dataValidations count="1">
    <x:dataValidation type="list" sqref="G6:G24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10d97660d944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66" hidden="0" customWidth="1"/>
    <x:col min="4" max="4" width="9" hidden="0" customWidth="1"/>
    <x:col min="5" max="5" width="30" hidden="0" customWidth="1"/>
    <x:col min="6" max="6" width="12" hidden="0" customWidth="1"/>
    <x:col min="7" max="7" width="18" hidden="0" customWidth="1"/>
    <x:col min="8" max="8" width="14" hidden="0" customWidth="1"/>
    <x:col min="9" max="9" width="22" hidden="0" customWidth="1"/>
  </x:cols>
  <x:sheetData>
    <x:row r="1" ht="28" customHeight="1">
      <x:c r="A1" s="65" t="str">
        <x:v>Section Planning Board</x:v>
      </x:c>
      <x:c r="B1" s="65"/>
      <x:c r="C1" s="65"/>
      <x:c r="D1" s="65"/>
      <x:c r="E1" s="65"/>
      <x:c r="F1" s="65"/>
      <x:c r="G1" s="65"/>
      <x:c r="H1" s="65"/>
      <x:c r="I1" s="65"/>
    </x:row>
    <x:row r="2" ht="30" customHeight="1">
      <x:c r="A2" s="68" t="str">
        <x:v>Planning status, dependencies, priority, and lock readiness for every course section.</x:v>
      </x:c>
      <x:c r="B2" s="68"/>
      <x:c r="C2" s="68"/>
      <x:c r="D2" s="68"/>
      <x:c r="E2" s="68"/>
      <x:c r="F2" s="68"/>
      <x:c r="G2" s="68"/>
      <x:c r="H2" s="68"/>
      <x:c r="I2" s="68"/>
    </x:row>
    <x:row r="3" ht="30" customHeight="1">
      <x:c r="A3" s="71" t="str">
        <x:v>The first design target must be chosen explicitly after course-wide review and lab-network decisions.</x:v>
      </x:c>
      <x:c r="B3" s="71"/>
      <x:c r="C3" s="71"/>
      <x:c r="D3" s="71"/>
      <x:c r="E3" s="71"/>
      <x:c r="F3" s="71"/>
      <x:c r="G3" s="71"/>
      <x:c r="H3" s="71"/>
      <x:c r="I3" s="71"/>
    </x:row>
    <x:row r="5" ht="30" customHeight="1">
      <x:c r="A5" s="78" t="str">
        <x:v>Section</x:v>
      </x:c>
      <x:c r="B5" s="79" t="str">
        <x:v>Title</x:v>
      </x:c>
      <x:c r="C5" s="79" t="str">
        <x:v>Purpose</x:v>
      </x:c>
      <x:c r="D5" s="79" t="str">
        <x:v>Units</x:v>
      </x:c>
      <x:c r="E5" s="79" t="str">
        <x:v>Dependencies</x:v>
      </x:c>
      <x:c r="F5" s="79" t="str">
        <x:v>Milestone</x:v>
      </x:c>
      <x:c r="G5" s="79" t="str">
        <x:v>Planning status</x:v>
      </x:c>
      <x:c r="H5" s="79" t="str">
        <x:v>Priority</x:v>
      </x:c>
      <x:c r="I5" s="80" t="str">
        <x:v>SSOT state</x:v>
      </x:c>
    </x:row>
    <x:row r="6">
      <x:c r="A6" s="88" t="str">
        <x:v>00</x:v>
      </x:c>
      <x:c r="B6" s="88" t="str">
        <x:v>Computer and IT Prerequisites</x:v>
      </x:c>
      <x:c r="C6" s="88" t="str">
        <x:v>Give an absolute beginner the computing mental models required before professional infrastructure work.</x:v>
      </x:c>
      <x:c r="D6" s="88" t="n">
        <x:v>10</x:v>
      </x:c>
      <x:c r="E6" s="88" t="str">
        <x:v>Ordinary computer use only</x:v>
      </x:c>
      <x:c r="F6" s="88" t="str">
        <x:v>M00</x:v>
      </x:c>
      <x:c r="G6" s="88" t="str">
        <x:v>Design next</x:v>
      </x:c>
      <x:c r="H6" s="88" t="str">
        <x:v>High</x:v>
      </x:c>
      <x:c r="I6" s="88" t="str">
        <x:v>Draft discussion</x:v>
      </x:c>
    </x:row>
    <x:row r="7">
      <x:c r="A7" s="89" t="str">
        <x:v>01</x:v>
      </x:c>
      <x:c r="B7" s="89" t="str">
        <x:v>Evolution of Software Delivery</x:v>
      </x:c>
      <x:c r="C7" s="89" t="str">
        <x:v>Show why modern DevOps practices emerged from earlier delivery and operations problems.</x:v>
      </x:c>
      <x:c r="D7" s="89" t="n">
        <x:v>6</x:v>
      </x:c>
      <x:c r="E7" s="89" t="str">
        <x:v>Section 00</x:v>
      </x:c>
      <x:c r="F7" s="89" t="str">
        <x:v>M00</x:v>
      </x:c>
      <x:c r="G7" s="89" t="str">
        <x:v>Design next</x:v>
      </x:c>
      <x:c r="H7" s="89" t="str">
        <x:v>High</x:v>
      </x:c>
      <x:c r="I7" s="89" t="str">
        <x:v>Draft discussion</x:v>
      </x:c>
    </x:row>
    <x:row r="8">
      <x:c r="A8" s="89" t="str">
        <x:v>02</x:v>
      </x:c>
      <x:c r="B8" s="89" t="str">
        <x:v>Software Development Life Cycle</x:v>
      </x:c>
      <x:c r="C8" s="89" t="str">
        <x:v>Give the learner a complete view of how software moves from an idea to safe operation.</x:v>
      </x:c>
      <x:c r="D8" s="89" t="n">
        <x:v>7</x:v>
      </x:c>
      <x:c r="E8" s="89" t="str">
        <x:v>Sections 00-01</x:v>
      </x:c>
      <x:c r="F8" s="89" t="str">
        <x:v>M00</x:v>
      </x:c>
      <x:c r="G8" s="89" t="str">
        <x:v>Design next</x:v>
      </x:c>
      <x:c r="H8" s="89" t="str">
        <x:v>High</x:v>
      </x:c>
      <x:c r="I8" s="89" t="str">
        <x:v>Draft discussion</x:v>
      </x:c>
    </x:row>
    <x:row r="9">
      <x:c r="A9" s="89" t="str">
        <x:v>03</x:v>
      </x:c>
      <x:c r="B9" s="89" t="str">
        <x:v>VirtualBox and AnandTech Lab Platform</x:v>
      </x:c>
      <x:c r="C9" s="89" t="str">
        <x:v>Build the persistent three-machine workshop environment used throughout the course.</x:v>
      </x:c>
      <x:c r="D9" s="89" t="n">
        <x:v>14</x:v>
      </x:c>
      <x:c r="E9" s="89" t="str">
        <x:v>Sections 00-02; supported host with virtualization enabled</x:v>
      </x:c>
      <x:c r="F9" s="89" t="str">
        <x:v>M01</x:v>
      </x:c>
      <x:c r="G9" s="89" t="str">
        <x:v>Design next</x:v>
      </x:c>
      <x:c r="H9" s="89" t="str">
        <x:v>High</x:v>
      </x:c>
      <x:c r="I9" s="89" t="str">
        <x:v>Draft discussion</x:v>
      </x:c>
    </x:row>
    <x:row r="10">
      <x:c r="A10" s="89" t="str">
        <x:v>04</x:v>
      </x:c>
      <x:c r="B10" s="89" t="str">
        <x:v>Linux Foundations</x:v>
      </x:c>
      <x:c r="C10" s="89" t="str">
        <x:v>Build the deepest foundational skill set in the course: observing, operating, and troubleshooting Linux systems.</x:v>
      </x:c>
      <x:c r="D10" s="89" t="n">
        <x:v>33</x:v>
      </x:c>
      <x:c r="E10" s="89" t="str">
        <x:v>Section 03 lab or continuity checkpoint</x:v>
      </x:c>
      <x:c r="F10" s="89" t="str">
        <x:v>M02-M04</x:v>
      </x:c>
      <x:c r="G10" s="89" t="str">
        <x:v>Design next</x:v>
      </x:c>
      <x:c r="H10" s="89" t="str">
        <x:v>High</x:v>
      </x:c>
      <x:c r="I10" s="89" t="str">
        <x:v>Draft discussion</x:v>
      </x:c>
    </x:row>
    <x:row r="11">
      <x:c r="A11" s="89" t="str">
        <x:v>05</x:v>
      </x:c>
      <x:c r="B11" s="89" t="str">
        <x:v>Development Insight for DevOps Engineers</x:v>
      </x:c>
      <x:c r="C11" s="89" t="str">
        <x:v>Teach enough modern application development for a DevOps engineer to understand what is built, tested, configured, deployed, and operated.</x:v>
      </x:c>
      <x:c r="D11" s="89" t="n">
        <x:v>17</x:v>
      </x:c>
      <x:c r="E11" s="89" t="str">
        <x:v>Section 04 Linux foundations or continuity checkpoint</x:v>
      </x:c>
      <x:c r="F11" s="89" t="str">
        <x:v>M05</x:v>
      </x:c>
      <x:c r="G11" s="89" t="str">
        <x:v>Design next</x:v>
      </x:c>
      <x:c r="H11" s="89" t="str">
        <x:v>High</x:v>
      </x:c>
      <x:c r="I11" s="89" t="str">
        <x:v>Draft discussion</x:v>
      </x:c>
    </x:row>
    <x:row r="12">
      <x:c r="A12" s="89" t="str">
        <x:v>06</x:v>
      </x:c>
      <x:c r="B12" s="89" t="str">
        <x:v>Linux Networking</x:v>
      </x:c>
      <x:c r="C12" s="89" t="str">
        <x:v>Teach the learner to reason about and troubleshoot communication from interface to application.</x:v>
      </x:c>
      <x:c r="D12" s="89" t="n">
        <x:v>8</x:v>
      </x:c>
      <x:c r="E12" s="89" t="str">
        <x:v>Sections 03-05</x:v>
      </x:c>
      <x:c r="F12" s="89" t="str">
        <x:v>M06</x:v>
      </x:c>
      <x:c r="G12" s="89" t="str">
        <x:v>Backlog</x:v>
      </x:c>
      <x:c r="H12" s="89" t="str">
        <x:v>Medium</x:v>
      </x:c>
      <x:c r="I12" s="89" t="str">
        <x:v>Draft discussion</x:v>
      </x:c>
    </x:row>
    <x:row r="13">
      <x:c r="A13" s="89" t="str">
        <x:v>07</x:v>
      </x:c>
      <x:c r="B13" s="89" t="str">
        <x:v>Shell Scripting and Automation</x:v>
      </x:c>
      <x:c r="C13" s="89" t="str">
        <x:v>Turn repeated operational work into safe, observable, reusable automation.</x:v>
      </x:c>
      <x:c r="D13" s="89" t="n">
        <x:v>8</x:v>
      </x:c>
      <x:c r="E13" s="89" t="str">
        <x:v>Sections 04 and 06</x:v>
      </x:c>
      <x:c r="F13" s="89" t="str">
        <x:v>M07</x:v>
      </x:c>
      <x:c r="G13" s="89" t="str">
        <x:v>Backlog</x:v>
      </x:c>
      <x:c r="H13" s="89" t="str">
        <x:v>Medium</x:v>
      </x:c>
      <x:c r="I13" s="89" t="str">
        <x:v>Draft discussion</x:v>
      </x:c>
    </x:row>
    <x:row r="14">
      <x:c r="A14" s="89" t="str">
        <x:v>08</x:v>
      </x:c>
      <x:c r="B14" s="89" t="str">
        <x:v>Git and Source Control</x:v>
      </x:c>
      <x:c r="C14" s="89" t="str">
        <x:v>Make every application and infrastructure change traceable and recoverable.</x:v>
      </x:c>
      <x:c r="D14" s="89" t="n">
        <x:v>7</x:v>
      </x:c>
      <x:c r="E14" s="89" t="str">
        <x:v>Section 07</x:v>
      </x:c>
      <x:c r="F14" s="89" t="str">
        <x:v>M08</x:v>
      </x:c>
      <x:c r="G14" s="89" t="str">
        <x:v>Backlog</x:v>
      </x:c>
      <x:c r="H14" s="89" t="str">
        <x:v>Medium</x:v>
      </x:c>
      <x:c r="I14" s="89" t="str">
        <x:v>Draft discussion</x:v>
      </x:c>
    </x:row>
    <x:row r="15">
      <x:c r="A15" s="89" t="str">
        <x:v>09</x:v>
      </x:c>
      <x:c r="B15" s="89" t="str">
        <x:v>Remote Git Collaboration</x:v>
      </x:c>
      <x:c r="C15" s="89" t="str">
        <x:v>Teach professional team collaboration through remote repositories and review.</x:v>
      </x:c>
      <x:c r="D15" s="89" t="n">
        <x:v>6</x:v>
      </x:c>
      <x:c r="E15" s="89" t="str">
        <x:v>Section 08</x:v>
      </x:c>
      <x:c r="F15" s="89" t="str">
        <x:v>M08</x:v>
      </x:c>
      <x:c r="G15" s="89" t="str">
        <x:v>Backlog</x:v>
      </x:c>
      <x:c r="H15" s="89" t="str">
        <x:v>Medium</x:v>
      </x:c>
      <x:c r="I15" s="89" t="str">
        <x:v>Draft discussion</x:v>
      </x:c>
    </x:row>
    <x:row r="16">
      <x:c r="A16" s="89" t="str">
        <x:v>10</x:v>
      </x:c>
      <x:c r="B16" s="89" t="str">
        <x:v>SSH, SCP, SFTP, and Rsync</x:v>
      </x:c>
      <x:c r="C16" s="89" t="str">
        <x:v>Operate systems and transfer release material securely.</x:v>
      </x:c>
      <x:c r="D16" s="89" t="n">
        <x:v>6</x:v>
      </x:c>
      <x:c r="E16" s="89" t="str">
        <x:v>Sections 03-09</x:v>
      </x:c>
      <x:c r="F16" s="89" t="str">
        <x:v>M09</x:v>
      </x:c>
      <x:c r="G16" s="89" t="str">
        <x:v>Backlog</x:v>
      </x:c>
      <x:c r="H16" s="89" t="str">
        <x:v>Medium</x:v>
      </x:c>
      <x:c r="I16" s="89" t="str">
        <x:v>Draft discussion</x:v>
      </x:c>
    </x:row>
    <x:row r="17">
      <x:c r="A17" s="89" t="str">
        <x:v>11</x:v>
      </x:c>
      <x:c r="B17" s="89" t="str">
        <x:v>Web Servers, HTTP, TLS, and Nginx</x:v>
      </x:c>
      <x:c r="C17" s="89" t="str">
        <x:v>Deepen the learner's ability to operate the web entry point and request path.</x:v>
      </x:c>
      <x:c r="D17" s="89" t="n">
        <x:v>8</x:v>
      </x:c>
      <x:c r="E17" s="89" t="str">
        <x:v>Sections 05, 06, and 10</x:v>
      </x:c>
      <x:c r="F17" s="89" t="str">
        <x:v>M09</x:v>
      </x:c>
      <x:c r="G17" s="89" t="str">
        <x:v>Backlog</x:v>
      </x:c>
      <x:c r="H17" s="89" t="str">
        <x:v>Medium</x:v>
      </x:c>
      <x:c r="I17" s="89" t="str">
        <x:v>Draft discussion</x:v>
      </x:c>
    </x:row>
    <x:row r="18">
      <x:c r="A18" s="89" t="str">
        <x:v>12</x:v>
      </x:c>
      <x:c r="B18" s="89" t="str">
        <x:v>CI/CD Foundations and Jenkins</x:v>
      </x:c>
      <x:c r="C18" s="89" t="str">
        <x:v>Transform manual build and release work into an evidence-producing pipeline.</x:v>
      </x:c>
      <x:c r="D18" s="89" t="n">
        <x:v>9</x:v>
      </x:c>
      <x:c r="E18" s="89" t="str">
        <x:v>Sections 08-11</x:v>
      </x:c>
      <x:c r="F18" s="89" t="str">
        <x:v>M10</x:v>
      </x:c>
      <x:c r="G18" s="89" t="str">
        <x:v>Backlog</x:v>
      </x:c>
      <x:c r="H18" s="89" t="str">
        <x:v>Medium</x:v>
      </x:c>
      <x:c r="I18" s="89" t="str">
        <x:v>Draft discussion</x:v>
      </x:c>
    </x:row>
    <x:row r="19">
      <x:c r="A19" s="89" t="str">
        <x:v>13</x:v>
      </x:c>
      <x:c r="B19" s="89" t="str">
        <x:v>Testing, Artifacts, and Automated Deployment</x:v>
      </x:c>
      <x:c r="C19" s="89" t="str">
        <x:v>Build trustworthy releases that can be promoted, verified, and recovered.</x:v>
      </x:c>
      <x:c r="D19" s="89" t="n">
        <x:v>7</x:v>
      </x:c>
      <x:c r="E19" s="89" t="str">
        <x:v>Section 12</x:v>
      </x:c>
      <x:c r="F19" s="89" t="str">
        <x:v>M10</x:v>
      </x:c>
      <x:c r="G19" s="89" t="str">
        <x:v>Backlog</x:v>
      </x:c>
      <x:c r="H19" s="89" t="str">
        <x:v>Medium</x:v>
      </x:c>
      <x:c r="I19" s="89" t="str">
        <x:v>Draft discussion</x:v>
      </x:c>
    </x:row>
    <x:row r="20">
      <x:c r="A20" s="89" t="str">
        <x:v>14</x:v>
      </x:c>
      <x:c r="B20" s="89" t="str">
        <x:v>Monitoring, Logging, and Alerting</x:v>
      </x:c>
      <x:c r="C20" s="89" t="str">
        <x:v>Ensure the team detects and investigates failures before customers must report them.</x:v>
      </x:c>
      <x:c r="D20" s="89" t="n">
        <x:v>7</x:v>
      </x:c>
      <x:c r="E20" s="89" t="str">
        <x:v>Sections 04-13</x:v>
      </x:c>
      <x:c r="F20" s="89" t="str">
        <x:v>M11</x:v>
      </x:c>
      <x:c r="G20" s="89" t="str">
        <x:v>Backlog</x:v>
      </x:c>
      <x:c r="H20" s="89" t="str">
        <x:v>Medium</x:v>
      </x:c>
      <x:c r="I20" s="89" t="str">
        <x:v>Draft discussion</x:v>
      </x:c>
    </x:row>
    <x:row r="21">
      <x:c r="A21" s="89" t="str">
        <x:v>15</x:v>
      </x:c>
      <x:c r="B21" s="89" t="str">
        <x:v>Containers, Docker, and Compose</x:v>
      </x:c>
      <x:c r="C21" s="89" t="str">
        <x:v>Package the application and its runtime consistently while teaching the underlying Linux boundaries.</x:v>
      </x:c>
      <x:c r="D21" s="89" t="n">
        <x:v>10</x:v>
      </x:c>
      <x:c r="E21" s="89" t="str">
        <x:v>Sections 04-14</x:v>
      </x:c>
      <x:c r="F21" s="89" t="str">
        <x:v>M12</x:v>
      </x:c>
      <x:c r="G21" s="89" t="str">
        <x:v>Backlog</x:v>
      </x:c>
      <x:c r="H21" s="89" t="str">
        <x:v>Medium</x:v>
      </x:c>
      <x:c r="I21" s="89" t="str">
        <x:v>Draft discussion</x:v>
      </x:c>
    </x:row>
    <x:row r="22">
      <x:c r="A22" s="89" t="str">
        <x:v>16</x:v>
      </x:c>
      <x:c r="B22" s="89" t="str">
        <x:v>Ansible and Configuration Automation</x:v>
      </x:c>
      <x:c r="C22" s="89" t="str">
        <x:v>Eliminate configuration drift across the persistent lab.</x:v>
      </x:c>
      <x:c r="D22" s="89" t="n">
        <x:v>8</x:v>
      </x:c>
      <x:c r="E22" s="89" t="str">
        <x:v>Sections 07, 10, and 15</x:v>
      </x:c>
      <x:c r="F22" s="89" t="str">
        <x:v>M13</x:v>
      </x:c>
      <x:c r="G22" s="89" t="str">
        <x:v>Backlog</x:v>
      </x:c>
      <x:c r="H22" s="89" t="str">
        <x:v>Medium</x:v>
      </x:c>
      <x:c r="I22" s="89" t="str">
        <x:v>Draft discussion</x:v>
      </x:c>
    </x:row>
    <x:row r="23">
      <x:c r="A23" s="89" t="str">
        <x:v>17</x:v>
      </x:c>
      <x:c r="B23" s="89" t="str">
        <x:v>Infrastructure as Code and Cloud Foundations</x:v>
      </x:c>
      <x:c r="C23" s="89" t="str">
        <x:v>Teach infrastructure change as reviewed, reproducible, stateful code.</x:v>
      </x:c>
      <x:c r="D23" s="89" t="n">
        <x:v>8</x:v>
      </x:c>
      <x:c r="E23" s="89" t="str">
        <x:v>Sections 08, 09, and 16</x:v>
      </x:c>
      <x:c r="F23" s="89" t="str">
        <x:v>M14</x:v>
      </x:c>
      <x:c r="G23" s="89" t="str">
        <x:v>Backlog</x:v>
      </x:c>
      <x:c r="H23" s="89" t="str">
        <x:v>Medium</x:v>
      </x:c>
      <x:c r="I23" s="89" t="str">
        <x:v>Draft discussion</x:v>
      </x:c>
    </x:row>
    <x:row r="24">
      <x:c r="A24" s="89" t="str">
        <x:v>18</x:v>
      </x:c>
      <x:c r="B24" s="89" t="str">
        <x:v>AWS Foundations</x:v>
      </x:c>
      <x:c r="C24" s="89" t="str">
        <x:v>Apply infrastructure, identity, networking, compute, storage, monitoring, security, and cost concepts in AWS.</x:v>
      </x:c>
      <x:c r="D24" s="89" t="n">
        <x:v>10</x:v>
      </x:c>
      <x:c r="E24" s="89" t="str">
        <x:v>Section 17; AWS account only when explicitly enabled</x:v>
      </x:c>
      <x:c r="F24" s="89" t="str">
        <x:v>M14</x:v>
      </x:c>
      <x:c r="G24" s="89" t="str">
        <x:v>Backlog</x:v>
      </x:c>
      <x:c r="H24" s="89" t="str">
        <x:v>Medium</x:v>
      </x:c>
      <x:c r="I24" s="89" t="str">
        <x:v>Draft discussion</x:v>
      </x:c>
    </x:row>
    <x:row r="25">
      <x:c r="A25" s="89" t="str">
        <x:v>19</x:v>
      </x:c>
      <x:c r="B25" s="89" t="str">
        <x:v>Kubernetes and Orchestration</x:v>
      </x:c>
      <x:c r="C25" s="89" t="str">
        <x:v>Teach desired-state workload orchestration after the learner understands Linux, networks, containers, and automation.</x:v>
      </x:c>
      <x:c r="D25" s="89" t="n">
        <x:v>11</x:v>
      </x:c>
      <x:c r="E25" s="89" t="str">
        <x:v>Sections 04, 06, 15-18</x:v>
      </x:c>
      <x:c r="F25" s="89" t="str">
        <x:v>M15</x:v>
      </x:c>
      <x:c r="G25" s="89" t="str">
        <x:v>Backlog</x:v>
      </x:c>
      <x:c r="H25" s="89" t="str">
        <x:v>Medium</x:v>
      </x:c>
      <x:c r="I25" s="89" t="str">
        <x:v>Draft discussion</x:v>
      </x:c>
    </x:row>
    <x:row r="26">
      <x:c r="A26" s="89" t="str">
        <x:v>20</x:v>
      </x:c>
      <x:c r="B26" s="89" t="str">
        <x:v>Observability, Reliability, and DevSecOps</x:v>
      </x:c>
      <x:c r="C26" s="89" t="str">
        <x:v>Unify operational evidence, service reliability, incident response, and security across the delivery lifecycle.</x:v>
      </x:c>
      <x:c r="D26" s="89" t="n">
        <x:v>9</x:v>
      </x:c>
      <x:c r="E26" s="89" t="str">
        <x:v>Sections 12-19</x:v>
      </x:c>
      <x:c r="F26" s="89" t="str">
        <x:v>M16</x:v>
      </x:c>
      <x:c r="G26" s="89" t="str">
        <x:v>Backlog</x:v>
      </x:c>
      <x:c r="H26" s="89" t="str">
        <x:v>Medium</x:v>
      </x:c>
      <x:c r="I26" s="89" t="str">
        <x:v>Draft discussion</x:v>
      </x:c>
    </x:row>
    <x:row r="27">
      <x:c r="A27" s="89" t="str">
        <x:v>21</x:v>
      </x:c>
      <x:c r="B27" s="89" t="str">
        <x:v>Interview Preparation and Production Scenarios</x:v>
      </x:c>
      <x:c r="C27" s="89" t="str">
        <x:v>Convert practical experience into clear technical reasoning and professional communication.</x:v>
      </x:c>
      <x:c r="D27" s="89" t="n">
        <x:v>8</x:v>
      </x:c>
      <x:c r="E27" s="89" t="str">
        <x:v>Progressive use throughout; full section after Section 20</x:v>
      </x:c>
      <x:c r="F27" s="89" t="str">
        <x:v>Portfolio</x:v>
      </x:c>
      <x:c r="G27" s="89" t="str">
        <x:v>Backlog</x:v>
      </x:c>
      <x:c r="H27" s="89" t="str">
        <x:v>Medium</x:v>
      </x:c>
      <x:c r="I27" s="89" t="str">
        <x:v>Draft discussion</x:v>
      </x:c>
    </x:row>
    <x:row r="28">
      <x:c r="A28" s="90" t="str">
        <x:v>22</x:v>
      </x:c>
      <x:c r="B28" s="90" t="str">
        <x:v>Production CI/CD and AnandTech Capstone</x:v>
      </x:c>
      <x:c r="C28" s="90" t="str">
        <x:v>Integrate the entire course into a production-style delivery and operations system.</x:v>
      </x:c>
      <x:c r="D28" s="90" t="n">
        <x:v>12</x:v>
      </x:c>
      <x:c r="E28" s="90" t="str">
        <x:v>Sections 00-21</x:v>
      </x:c>
      <x:c r="F28" s="90" t="str">
        <x:v>M17</x:v>
      </x:c>
      <x:c r="G28" s="90" t="str">
        <x:v>Backlog</x:v>
      </x:c>
      <x:c r="H28" s="90" t="str">
        <x:v>Medium</x:v>
      </x:c>
      <x:c r="I28" s="90" t="str">
        <x:v>Draft discussion</x:v>
      </x:c>
    </x:row>
  </x:sheetData>
  <x:mergeCells>
    <x:mergeCell ref="A1:I1"/>
    <x:mergeCell ref="A2:I2"/>
    <x:mergeCell ref="A3:I3"/>
  </x:mergeCells>
  <x:conditionalFormatting sqref="I6:I28">
    <x:cfRule type="containsText" dxfId="5" priority="1" operator="containsText" text="Locked"/>
    <x:cfRule type="containsText" dxfId="6" priority="2" operator="containsText" text="Unresolved"/>
    <x:cfRule type="containsText" dxfId="7" priority="3" operator="containsText" text="Pending"/>
  </x:conditionalFormatting>
  <x:conditionalFormatting sqref="H6:H28">
    <x:cfRule type="containsText" dxfId="8" priority="4" operator="containsText" text="Critical"/>
    <x:cfRule type="containsText" dxfId="9" priority="5" operator="containsText" text="High"/>
  </x:conditionalFormatting>
  <x:dataValidations count="2">
    <x:dataValidation type="list" sqref="I6:I28">
      <x:formula1>"Draft discussion,Ready for SSOT,SSOT drafted,Locked,Deferred"</x:formula1>
    </x:dataValidation>
    <x:dataValidation type="list" sqref="H6:H2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387600577f43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50" hidden="0" customWidth="1"/>
    <x:col min="4" max="4" width="48" hidden="0" customWidth="1"/>
    <x:col min="5" max="5" width="54" hidden="0" customWidth="1"/>
    <x:col min="6" max="6" width="14" hidden="0" customWidth="1"/>
    <x:col min="7" max="7" width="20" hidden="0" customWidth="1"/>
  </x:cols>
  <x:sheetData>
    <x:row r="1" ht="28" customHeight="1">
      <x:c r="A1" s="65" t="str">
        <x:v>Lab Planning Board</x:v>
      </x:c>
      <x:c r="B1" s="65"/>
      <x:c r="C1" s="65"/>
      <x:c r="D1" s="65"/>
      <x:c r="E1" s="65"/>
      <x:c r="F1" s="65"/>
      <x:c r="G1" s="65"/>
    </x:row>
    <x:row r="2" ht="30" customHeight="1">
      <x:c r="A2" s="68" t="str">
        <x:v>Architecture proposals, progressive service ownership, risks, and dependencies.</x:v>
      </x:c>
      <x:c r="B2" s="68"/>
      <x:c r="C2" s="68"/>
      <x:c r="D2" s="68"/>
      <x:c r="E2" s="68"/>
      <x:c r="F2" s="68"/>
      <x:c r="G2" s="68"/>
    </x:row>
    <x:row r="3" ht="30" customHeight="1">
      <x:c r="A3" s="71" t="str">
        <x:v>The host-only IP decision is the highest-priority blocker because it changes every command, diagram, and workshop checkpoint.</x:v>
      </x:c>
      <x:c r="B3" s="71"/>
      <x:c r="C3" s="71"/>
      <x:c r="D3" s="71"/>
      <x:c r="E3" s="71"/>
      <x:c r="F3" s="71"/>
      <x:c r="G3" s="71"/>
    </x:row>
    <x:row r="5" ht="30" customHeight="1">
      <x:c r="A5" s="78" t="str">
        <x:v>Topic</x:v>
      </x:c>
      <x:c r="B5" s="79" t="str">
        <x:v>Current proposal</x:v>
      </x:c>
      <x:c r="C5" s="79" t="str">
        <x:v>Alternative / issue</x:v>
      </x:c>
      <x:c r="D5" s="79" t="str">
        <x:v>Impact</x:v>
      </x:c>
      <x:c r="E5" s="79" t="str">
        <x:v>Recommended resolution</x:v>
      </x:c>
      <x:c r="F5" s="79" t="str">
        <x:v>Priority</x:v>
      </x:c>
      <x:c r="G5" s="80" t="str">
        <x:v>Status</x:v>
      </x:c>
    </x:row>
    <x:row r="6">
      <x:c r="A6" s="88" t="str">
        <x:v>Host-only subnet</x:v>
      </x:c>
      <x:c r="B6" s="88" t="str">
        <x:v>192.168.56.0/24</x:v>
      </x:c>
      <x:c r="C6" s="88" t="str">
        <x:v>None</x:v>
      </x:c>
      <x:c r="D6" s="88" t="str">
        <x:v>All lab communication</x:v>
      </x:c>
      <x:c r="E6" s="88" t="str">
        <x:v>Retain</x:v>
      </x:c>
      <x:c r="F6" s="88" t="str">
        <x:v>Critical</x:v>
      </x:c>
      <x:c r="G6" s="88" t="str">
        <x:v>Accepted direction</x:v>
      </x:c>
    </x:row>
    <x:row r="7">
      <x:c r="A7" s="89" t="str">
        <x:v>Host address</x:v>
      </x:c>
      <x:c r="B7" s="89" t="str">
        <x:v>192.168.56.1</x:v>
      </x:c>
      <x:c r="C7" s="89" t="str">
        <x:v>Could be moved to .254</x:v>
      </x:c>
      <x:c r="D7" s="89" t="str">
        <x:v>Conflicts with requested web01 .1</x:v>
      </x:c>
      <x:c r="E7" s="89" t="str">
        <x:v>Retain .1</x:v>
      </x:c>
      <x:c r="F7" s="89" t="str">
        <x:v>Critical</x:v>
      </x:c>
      <x:c r="G7" s="89" t="str">
        <x:v>Open</x:v>
      </x:c>
    </x:row>
    <x:row r="8">
      <x:c r="A8" s="89" t="str">
        <x:v>VM addresses</x:v>
      </x:c>
      <x:c r="B8" s="89" t="str">
        <x:v>web01 .11; cicd01 .12; mon01 .13</x:v>
      </x:c>
      <x:c r="C8" s="89" t="str">
        <x:v>Requested .1/.2/.3</x:v>
      </x:c>
      <x:c r="D8" s="89" t="str">
        <x:v>All examples and diagrams</x:v>
      </x:c>
      <x:c r="E8" s="89" t="str">
        <x:v>Use .11/.12/.13</x:v>
      </x:c>
      <x:c r="F8" s="89" t="str">
        <x:v>Critical</x:v>
      </x:c>
      <x:c r="G8" s="89" t="str">
        <x:v>Open</x:v>
      </x:c>
    </x:row>
    <x:row r="9">
      <x:c r="A9" s="89" t="str">
        <x:v>Adapter 1</x:v>
      </x:c>
      <x:c r="B9" s="89" t="str">
        <x:v>Bridged</x:v>
      </x:c>
      <x:c r="C9" s="89" t="str">
        <x:v>NAT fallback</x:v>
      </x:c>
      <x:c r="D9" s="89" t="str">
        <x:v>Internet access and exposure</x:v>
      </x:c>
      <x:c r="E9" s="89" t="str">
        <x:v>Use bridged primary with documented NAT fallback</x:v>
      </x:c>
      <x:c r="F9" s="89" t="str">
        <x:v>High</x:v>
      </x:c>
      <x:c r="G9" s="89" t="str">
        <x:v>Open</x:v>
      </x:c>
    </x:row>
    <x:row r="10">
      <x:c r="A10" s="89" t="str">
        <x:v>Adapter 2</x:v>
      </x:c>
      <x:c r="B10" s="89" t="str">
        <x:v>Host-only</x:v>
      </x:c>
      <x:c r="C10" s="89" t="str">
        <x:v>None</x:v>
      </x:c>
      <x:c r="D10" s="89" t="str">
        <x:v>Stable host and inter-VM management</x:v>
      </x:c>
      <x:c r="E10" s="89" t="str">
        <x:v>Retain</x:v>
      </x:c>
      <x:c r="F10" s="89" t="str">
        <x:v>Critical</x:v>
      </x:c>
      <x:c r="G10" s="89" t="str">
        <x:v>Accepted direction</x:v>
      </x:c>
    </x:row>
    <x:row r="11">
      <x:c r="A11" s="89" t="str">
        <x:v>Persistent config</x:v>
      </x:c>
      <x:c r="B11" s="89" t="str">
        <x:v>MAC-aware static host-only address</x:v>
      </x:c>
      <x:c r="C11" s="89" t="str">
        <x:v>Interface names vary</x:v>
      </x:c>
      <x:c r="D11" s="89" t="str">
        <x:v>Reboot reliability</x:v>
      </x:c>
      <x:c r="E11" s="89" t="str">
        <x:v>Lock after distro network stack</x:v>
      </x:c>
      <x:c r="F11" s="89" t="str">
        <x:v>High</x:v>
      </x:c>
      <x:c r="G11" s="89" t="str">
        <x:v>Open</x:v>
      </x:c>
    </x:row>
    <x:row r="12">
      <x:c r="A12" s="89" t="str">
        <x:v>SSH</x:v>
      </x:c>
      <x:c r="B12" s="89" t="str">
        <x:v>All VMs accessible from host</x:v>
      </x:c>
      <x:c r="C12" s="89" t="str">
        <x:v>Initial password bootstrap only</x:v>
      </x:c>
      <x:c r="D12" s="89" t="str">
        <x:v>All progressive workshops</x:v>
      </x:c>
      <x:c r="E12" s="89" t="str">
        <x:v>Keys after bootstrap</x:v>
      </x:c>
      <x:c r="F12" s="89" t="str">
        <x:v>Critical</x:v>
      </x:c>
      <x:c r="G12" s="89" t="str">
        <x:v>Accepted direction</x:v>
      </x:c>
    </x:row>
    <x:row r="13">
      <x:c r="A13" s="89" t="str">
        <x:v>web01</x:v>
      </x:c>
      <x:c r="B13" s="89" t="str">
        <x:v>Alpine + Nginx + FastAPI</x:v>
      </x:c>
      <x:c r="C13" s="89" t="str">
        <x:v>Containerization comes later</x:v>
      </x:c>
      <x:c r="D13" s="89" t="str">
        <x:v>Development and web journey</x:v>
      </x:c>
      <x:c r="E13" s="89" t="str">
        <x:v>Use native services first</x:v>
      </x:c>
      <x:c r="F13" s="89" t="str">
        <x:v>High</x:v>
      </x:c>
      <x:c r="G13" s="89" t="str">
        <x:v>Accepted direction</x:v>
      </x:c>
    </x:row>
    <x:row r="14">
      <x:c r="A14" s="89" t="str">
        <x:v>cicd01</x:v>
      </x:c>
      <x:c r="B14" s="89" t="str">
        <x:v>Debian + Git + Jenkins</x:v>
      </x:c>
      <x:c r="C14" s="89" t="str">
        <x:v>Do not install before owning section</x:v>
      </x:c>
      <x:c r="D14" s="89" t="str">
        <x:v>Git and pipeline journey</x:v>
      </x:c>
      <x:c r="E14" s="89" t="str">
        <x:v>Progressive install</x:v>
      </x:c>
      <x:c r="F14" s="89" t="str">
        <x:v>High</x:v>
      </x:c>
      <x:c r="G14" s="89" t="str">
        <x:v>Accepted direction</x:v>
      </x:c>
    </x:row>
    <x:row r="15">
      <x:c r="A15" s="89" t="str">
        <x:v>mon01</x:v>
      </x:c>
      <x:c r="B15" s="89" t="str">
        <x:v>Debian + Prometheus + Grafana</x:v>
      </x:c>
      <x:c r="C15" s="89" t="str">
        <x:v>Do not install before monitoring</x:v>
      </x:c>
      <x:c r="D15" s="89" t="str">
        <x:v>Observability journey</x:v>
      </x:c>
      <x:c r="E15" s="89" t="str">
        <x:v>Progressive install</x:v>
      </x:c>
      <x:c r="F15" s="89" t="str">
        <x:v>High</x:v>
      </x:c>
      <x:c r="G15" s="89" t="str">
        <x:v>Accepted direction</x:v>
      </x:c>
    </x:row>
    <x:row r="16">
      <x:c r="A16" s="89" t="str">
        <x:v>PostgreSQL/pgvector</x:v>
      </x:c>
      <x:c r="B16" s="89" t="str">
        <x:v>Docker-hosted on learner host during development insight</x:v>
      </x:c>
      <x:c r="C16" s="89" t="str">
        <x:v>Dedicated db01 not currently approved</x:v>
      </x:c>
      <x:c r="D16" s="89" t="str">
        <x:v>Application persistence</x:v>
      </x:c>
      <x:c r="E16" s="89" t="str">
        <x:v>Use supplied Compose checkpoint</x:v>
      </x:c>
      <x:c r="F16" s="89" t="str">
        <x:v>High</x:v>
      </x:c>
      <x:c r="G16" s="89" t="str">
        <x:v>Open</x:v>
      </x:c>
    </x:row>
    <x:row r="17">
      <x:c r="A17" s="90" t="str">
        <x:v>Recovery</x:v>
      </x:c>
      <x:c r="B17" s="90" t="str">
        <x:v>Snapshots plus documented rebuild</x:v>
      </x:c>
      <x:c r="C17" s="90" t="str">
        <x:v>Large distributed OVA files</x:v>
      </x:c>
      <x:c r="D17" s="90" t="str">
        <x:v>Skippable failure labs</x:v>
      </x:c>
      <x:c r="E17" s="90" t="str">
        <x:v>Use snapshots locally; ship scripts/configs</x:v>
      </x:c>
      <x:c r="F17" s="90" t="str">
        <x:v>Medium</x:v>
      </x:c>
      <x:c r="G17" s="90" t="str">
        <x:v>Open</x:v>
      </x:c>
    </x:row>
  </x:sheetData>
  <x:mergeCells>
    <x:mergeCell ref="A1:G1"/>
    <x:mergeCell ref="A2:G2"/>
    <x:mergeCell ref="A3:G3"/>
  </x:mergeCells>
  <x:conditionalFormatting sqref="G6:G17">
    <x:cfRule type="containsText" dxfId="10" priority="1" operator="containsText" text="Locked"/>
    <x:cfRule type="containsText" dxfId="11" priority="2" operator="containsText" text="Unresolved"/>
    <x:cfRule type="containsText" dxfId="12" priority="3" operator="containsText" text="Pending"/>
  </x:conditionalFormatting>
  <x:conditionalFormatting sqref="F6:F17">
    <x:cfRule type="containsText" dxfId="13" priority="4" operator="containsText" text="Critical"/>
    <x:cfRule type="containsText" dxfId="14" priority="5" operator="containsText" text="High"/>
  </x:conditionalFormatting>
  <x:dataValidations count="2">
    <x:dataValidation type="list" sqref="G6:G17">
      <x:formula1>"Accepted direction,Open,Resolved,Rejected,Deferred"</x:formula1>
    </x:dataValidation>
    <x:dataValidation type="list" sqref="F6:F17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130dadd1045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8" hidden="0" customWidth="1"/>
    <x:col min="4" max="4" width="55" hidden="0" customWidth="1"/>
    <x:col min="5" max="5" width="62" hidden="0" customWidth="1"/>
    <x:col min="6" max="6" width="46" hidden="0" customWidth="1"/>
    <x:col min="7" max="7" width="58" hidden="0" customWidth="1"/>
    <x:col min="8" max="8" width="20" hidden="0" customWidth="1"/>
  </x:cols>
  <x:sheetData>
    <x:row r="1" ht="28" customHeight="1">
      <x:c r="A1" s="65" t="str">
        <x:v>Workshop Journey Planning</x:v>
      </x:c>
      <x:c r="B1" s="65"/>
      <x:c r="C1" s="65"/>
      <x:c r="D1" s="65"/>
      <x:c r="E1" s="65"/>
      <x:c r="F1" s="65"/>
      <x:c r="G1" s="65"/>
      <x:c r="H1" s="65"/>
    </x:row>
    <x:row r="2" ht="30" customHeight="1">
      <x:c r="A2" s="68" t="str">
        <x:v>Milestone goals, readiness, failure design, evidence, and skip-safe state.</x:v>
      </x:c>
      <x:c r="B2" s="68"/>
      <x:c r="C2" s="68"/>
      <x:c r="D2" s="68"/>
      <x:c r="E2" s="68"/>
      <x:c r="F2" s="68"/>
      <x:c r="G2" s="68"/>
      <x:c r="H2" s="68"/>
    </x:row>
    <x:row r="3" ht="30" customHeight="1">
      <x:c r="A3" s="71" t="str">
        <x:v>Milestone IDs stay stable even if unit numbering changes; each section SSOT records the exact unlock unit.</x:v>
      </x:c>
      <x:c r="B3" s="71"/>
      <x:c r="C3" s="71"/>
      <x:c r="D3" s="71"/>
      <x:c r="E3" s="71"/>
      <x:c r="F3" s="71"/>
      <x:c r="G3" s="71"/>
      <x:c r="H3" s="71"/>
    </x:row>
    <x:row r="5" ht="30" customHeight="1">
      <x:c r="A5" s="78" t="str">
        <x:v>ID</x:v>
      </x:c>
      <x:c r="B5" s="79" t="str">
        <x:v>Journey event</x:v>
      </x:c>
      <x:c r="C5" s="79" t="str">
        <x:v>Readiness</x:v>
      </x:c>
      <x:c r="D5" s="79" t="str">
        <x:v>Practical mission</x:v>
      </x:c>
      <x:c r="E5" s="79" t="str">
        <x:v>Failure design</x:v>
      </x:c>
      <x:c r="F5" s="79" t="str">
        <x:v>Evidence</x:v>
      </x:c>
      <x:c r="G5" s="79" t="str">
        <x:v>Skip checkpoint</x:v>
      </x:c>
      <x:c r="H5" s="80" t="str">
        <x:v>Status</x:v>
      </x:c>
    </x:row>
    <x:row r="6">
      <x:c r="A6" s="88" t="str">
        <x:v>M00</x:v>
      </x:c>
      <x:c r="B6" s="88" t="str">
        <x:v>Anand's First Day</x:v>
      </x:c>
      <x:c r="C6" s="88" t="str">
        <x:v>Sections 00-02</x:v>
      </x:c>
      <x:c r="D6" s="88" t="str">
        <x:v>Map the delivery system and responsibilities</x:v>
      </x:c>
      <x:c r="E6" s="88" t="str">
        <x:v>Terminology mismatch and incomplete architecture</x:v>
      </x:c>
      <x:c r="F6" s="88" t="str">
        <x:v>anandtech_delivery_map.md</x:v>
      </x:c>
      <x:c r="G6" s="88" t="str">
        <x:v>Expected state; vocabulary; sample evidence; restoration path; no mastery claim</x:v>
      </x:c>
      <x:c r="H6" s="88" t="str">
        <x:v>Draft discussion</x:v>
      </x:c>
    </x:row>
    <x:row r="7">
      <x:c r="A7" s="89" t="str">
        <x:v>M01</x:v>
      </x:c>
      <x:c r="B7" s="89" t="str">
        <x:v>Build the AnandTech Lab</x:v>
      </x:c>
      <x:c r="C7" s="89" t="str">
        <x:v>Section 03 Unit 14</x:v>
      </x:c>
      <x:c r="D7" s="89" t="str">
        <x:v>Build three persistent SSH-accessible VMs</x:v>
      </x:c>
      <x:c r="E7" s="89" t="str">
        <x:v>IP conflict; interface order; two gateways; persistence; SSH</x:v>
      </x:c>
      <x:c r="F7" s="89" t="str">
        <x:v>lab inventory; network map; recovery runbook</x:v>
      </x:c>
      <x:c r="G7" s="89" t="str">
        <x:v>Expected state; vocabulary; sample evidence; restoration path; no mastery claim</x:v>
      </x:c>
      <x:c r="H7" s="89" t="str">
        <x:v>Draft discussion</x:v>
      </x:c>
    </x:row>
    <x:row r="8">
      <x:c r="A8" s="89" t="str">
        <x:v>M02</x:v>
      </x:c>
      <x:c r="B8" s="89" t="str">
        <x:v>Find the Evidence</x:v>
      </x:c>
      <x:c r="C8" s="89" t="str">
        <x:v>Section 04 Unit 11</x:v>
      </x:c>
      <x:c r="D8" s="89" t="str">
        <x:v>Locate and interpret Linux configuration and logs</x:v>
      </x:c>
      <x:c r="E8" s="89" t="str">
        <x:v>Case; comments; recursive noise; regex; ignored exit code</x:v>
      </x:c>
      <x:c r="F8" s="89" t="str">
        <x:v>grep investigation; configuration inventory</x:v>
      </x:c>
      <x:c r="G8" s="89" t="str">
        <x:v>Expected state; vocabulary; sample evidence; restoration path; no mastery claim</x:v>
      </x:c>
      <x:c r="H8" s="89" t="str">
        <x:v>Draft discussion</x:v>
      </x:c>
    </x:row>
    <x:row r="9">
      <x:c r="A9" s="89" t="str">
        <x:v>M03</x:v>
      </x:c>
      <x:c r="B9" s="89" t="str">
        <x:v>The Server Is Slow</x:v>
      </x:c>
      <x:c r="C9" s="89" t="str">
        <x:v>Section 04 Unit 20</x:v>
      </x:c>
      <x:c r="D9" s="89" t="str">
        <x:v>Diagnose CPU, memory, load, disk, and inode symptoms</x:v>
      </x:c>
      <x:c r="E9" s="89" t="str">
        <x:v>CPU process; memory pressure; full disk; inode exhaustion; deleted-open log</x:v>
      </x:c>
      <x:c r="F9" s="89" t="str">
        <x:v>resource investigation; incident report</x:v>
      </x:c>
      <x:c r="G9" s="89" t="str">
        <x:v>Expected state; vocabulary; sample evidence; restoration path; no mastery claim</x:v>
      </x:c>
      <x:c r="H9" s="89" t="str">
        <x:v>Draft discussion</x:v>
      </x:c>
    </x:row>
    <x:row r="10">
      <x:c r="A10" s="89" t="str">
        <x:v>M04</x:v>
      </x:c>
      <x:c r="B10" s="89" t="str">
        <x:v>Restore the Service</x:v>
      </x:c>
      <x:c r="C10" s="89" t="str">
        <x:v>Section 04 Units 21-33</x:v>
      </x:c>
      <x:c r="D10" s="89" t="str">
        <x:v>Recover a failed systemd-managed service</x:v>
      </x:c>
      <x:c r="E10" s="89" t="str">
        <x:v>Wrong service user; unreadable env; restart loop; Nginx upstream</x:v>
      </x:c>
      <x:c r="F10" s="89" t="str">
        <x:v>service runbook; unit review; timeline</x:v>
      </x:c>
      <x:c r="G10" s="89" t="str">
        <x:v>Expected state; vocabulary; sample evidence; restoration path; no mastery claim</x:v>
      </x:c>
      <x:c r="H10" s="89" t="str">
        <x:v>Draft discussion</x:v>
      </x:c>
    </x:row>
    <x:row r="11">
      <x:c r="A11" s="89" t="str">
        <x:v>M05</x:v>
      </x:c>
      <x:c r="B11" s="89" t="str">
        <x:v>Ship the First Todo Application</x:v>
      </x:c>
      <x:c r="C11" s="89" t="str">
        <x:v>Section 05</x:v>
      </x:c>
      <x:c r="D11" s="89" t="str">
        <x:v>Build and operate HTML/CSS/JS + FastAPI + pgvector</x:v>
      </x:c>
      <x:c r="E11" s="89" t="str">
        <x:v>CORS; wrong URL; API data; DB; proxy; persistence</x:v>
      </x:c>
      <x:c r="F11" s="89" t="str">
        <x:v>architecture; handoff; app runbook</x:v>
      </x:c>
      <x:c r="G11" s="89" t="str">
        <x:v>Expected state; vocabulary; sample evidence; restoration path; no mastery claim</x:v>
      </x:c>
      <x:c r="H11" s="89" t="str">
        <x:v>Draft discussion</x:v>
      </x:c>
    </x:row>
    <x:row r="12">
      <x:c r="A12" s="89" t="str">
        <x:v>M06</x:v>
      </x:c>
      <x:c r="B12" s="89" t="str">
        <x:v>Users Cannot Reach AnandTech</x:v>
      </x:c>
      <x:c r="C12" s="89" t="str">
        <x:v>Section 06</x:v>
      </x:c>
      <x:c r="D12" s="89" t="str">
        <x:v>Trace and repair a network request path</x:v>
      </x:c>
      <x:c r="E12" s="89" t="str">
        <x:v>Wrong IP; route; loopback bind; firewall; DNS; listener</x:v>
      </x:c>
      <x:c r="F12" s="89" t="str">
        <x:v>network incident report</x:v>
      </x:c>
      <x:c r="G12" s="89" t="str">
        <x:v>Expected state; vocabulary; sample evidence; restoration path; no mastery claim</x:v>
      </x:c>
      <x:c r="H12" s="89" t="str">
        <x:v>Draft discussion</x:v>
      </x:c>
    </x:row>
    <x:row r="13">
      <x:c r="A13" s="89" t="str">
        <x:v>M07</x:v>
      </x:c>
      <x:c r="B13" s="89" t="str">
        <x:v>Stop Repeating Yourself</x:v>
      </x:c>
      <x:c r="C13" s="89" t="str">
        <x:v>Section 07</x:v>
      </x:c>
      <x:c r="D13" s="89" t="str">
        <x:v>Automate three-server health checks</x:v>
      </x:c>
      <x:c r="E13" s="89" t="str">
        <x:v>Quoting; missing tools; partial output; false success; cron env</x:v>
      </x:c>
      <x:c r="F13" s="89" t="str">
        <x:v>health script; automation runbook</x:v>
      </x:c>
      <x:c r="G13" s="89" t="str">
        <x:v>Expected state; vocabulary; sample evidence; restoration path; no mastery claim</x:v>
      </x:c>
      <x:c r="H13" s="89" t="str">
        <x:v>Draft discussion</x:v>
      </x:c>
    </x:row>
    <x:row r="14">
      <x:c r="A14" s="89" t="str">
        <x:v>M08</x:v>
      </x:c>
      <x:c r="B14" s="89" t="str">
        <x:v>Recover the Lost Change</x:v>
      </x:c>
      <x:c r="C14" s="89" t="str">
        <x:v>Sections 08-09</x:v>
      </x:c>
      <x:c r="D14" s="89" t="str">
        <x:v>Recover history and deliver through review</x:v>
      </x:c>
      <x:c r="E14" s="89" t="str">
        <x:v>Wrong branch; uncommitted work; conflict; secret; force push</x:v>
      </x:c>
      <x:c r="F14" s="89" t="str">
        <x:v>Git recovery; workflow evidence</x:v>
      </x:c>
      <x:c r="G14" s="89" t="str">
        <x:v>Expected state; vocabulary; sample evidence; restoration path; no mastery claim</x:v>
      </x:c>
      <x:c r="H14" s="89" t="str">
        <x:v>Draft discussion</x:v>
      </x:c>
    </x:row>
    <x:row r="15">
      <x:c r="A15" s="89" t="str">
        <x:v>M09</x:v>
      </x:c>
      <x:c r="B15" s="89" t="str">
        <x:v>Secure Release Transfer</x:v>
      </x:c>
      <x:c r="C15" s="89" t="str">
        <x:v>Sections 10-11</x:v>
      </x:c>
      <x:c r="D15" s="89" t="str">
        <x:v>Transfer, verify, activate, and roll back a release</x:v>
      </x:c>
      <x:c r="E15" s="89" t="str">
        <x:v>Key permissions; host key; remote permission; partial copy; wrong root</x:v>
      </x:c>
      <x:c r="F15" s="89" t="str">
        <x:v>transfer runbook; release manifest</x:v>
      </x:c>
      <x:c r="G15" s="89" t="str">
        <x:v>Expected state; vocabulary; sample evidence; restoration path; no mastery claim</x:v>
      </x:c>
      <x:c r="H15" s="89" t="str">
        <x:v>Draft discussion</x:v>
      </x:c>
    </x:row>
    <x:row r="16">
      <x:c r="A16" s="89" t="str">
        <x:v>M10</x:v>
      </x:c>
      <x:c r="B16" s="89" t="str">
        <x:v>Build the Delivery Pipeline</x:v>
      </x:c>
      <x:c r="C16" s="89" t="str">
        <x:v>Sections 12-13</x:v>
      </x:c>
      <x:c r="D16" s="89" t="str">
        <x:v>Build, test, package, deploy, verify, and recover</x:v>
      </x:c>
      <x:c r="E16" s="89" t="str">
        <x:v>Test; dependency; Jenkins permission; credential; wrong artifact; false success</x:v>
      </x:c>
      <x:c r="F16" s="89" t="str">
        <x:v>Jenkinsfile; pipeline; deployment evidence; rollback</x:v>
      </x:c>
      <x:c r="G16" s="89" t="str">
        <x:v>Expected state; vocabulary; sample evidence; restoration path; no mastery claim</x:v>
      </x:c>
      <x:c r="H16" s="89" t="str">
        <x:v>Draft discussion</x:v>
      </x:c>
    </x:row>
    <x:row r="17">
      <x:c r="A17" s="89" t="str">
        <x:v>M11</x:v>
      </x:c>
      <x:c r="B17" s="89" t="str">
        <x:v>Detect Before the Customer Calls</x:v>
      </x:c>
      <x:c r="C17" s="89" t="str">
        <x:v>Section 14</x:v>
      </x:c>
      <x:c r="D17" s="89" t="str">
        <x:v>Monitor the platform and respond to an alert</x:v>
      </x:c>
      <x:c r="E17" s="89" t="str">
        <x:v>Unreachable target; bad scrape; misleading dashboard; noisy alert</x:v>
      </x:c>
      <x:c r="F17" s="89" t="str">
        <x:v>monitoring inventory; alert runbook; dashboard review</x:v>
      </x:c>
      <x:c r="G17" s="89" t="str">
        <x:v>Expected state; vocabulary; sample evidence; restoration path; no mastery claim</x:v>
      </x:c>
      <x:c r="H17" s="89" t="str">
        <x:v>Draft discussion</x:v>
      </x:c>
    </x:row>
    <x:row r="18">
      <x:c r="A18" s="89" t="str">
        <x:v>M12</x:v>
      </x:c>
      <x:c r="B18" s="89" t="str">
        <x:v>Containerize AnandTech</x:v>
      </x:c>
      <x:c r="C18" s="89" t="str">
        <x:v>Section 15</x:v>
      </x:c>
      <x:c r="D18" s="89" t="str">
        <x:v>Package and operate frontend, API, and pgvector</x:v>
      </x:c>
      <x:c r="E18" s="89" t="str">
        <x:v>Build context; env; immediate exit; missing volume; DNS; root</x:v>
      </x:c>
      <x:c r="F18" s="89" t="str">
        <x:v>Dockerfile; compose; runbook</x:v>
      </x:c>
      <x:c r="G18" s="89" t="str">
        <x:v>Expected state; vocabulary; sample evidence; restoration path; no mastery claim</x:v>
      </x:c>
      <x:c r="H18" s="89" t="str">
        <x:v>Draft discussion</x:v>
      </x:c>
    </x:row>
    <x:row r="19">
      <x:c r="A19" s="89" t="str">
        <x:v>M13</x:v>
      </x:c>
      <x:c r="B19" s="89" t="str">
        <x:v>Repair Configuration Drift</x:v>
      </x:c>
      <x:c r="C19" s="89" t="str">
        <x:v>Section 16</x:v>
      </x:c>
      <x:c r="D19" s="89" t="str">
        <x:v>Restore desired state and prove idempotence</x:v>
      </x:c>
      <x:c r="E19" s="89" t="str">
        <x:v>Package; service; template; permission; partial host failure</x:v>
      </x:c>
      <x:c r="F19" s="89" t="str">
        <x:v>Ansible project; compliance report</x:v>
      </x:c>
      <x:c r="G19" s="89" t="str">
        <x:v>Expected state; vocabulary; sample evidence; restoration path; no mastery claim</x:v>
      </x:c>
      <x:c r="H19" s="89" t="str">
        <x:v>Draft discussion</x:v>
      </x:c>
    </x:row>
    <x:row r="20">
      <x:c r="A20" s="89" t="str">
        <x:v>M14</x:v>
      </x:c>
      <x:c r="B20" s="89" t="str">
        <x:v>Rebuild from Code</x:v>
      </x:c>
      <x:c r="C20" s="89" t="str">
        <x:v>Sections 17-18</x:v>
      </x:c>
      <x:c r="D20" s="89" t="str">
        <x:v>Provision and remove a secured cloud environment</x:v>
      </x:c>
      <x:c r="E20" s="89" t="str">
        <x:v>State; permissions; exposure; destructive plan; dependency; cost</x:v>
      </x:c>
      <x:c r="F20" s="89" t="str">
        <x:v>infrastructure; ADR; cost/cleanup report</x:v>
      </x:c>
      <x:c r="G20" s="89" t="str">
        <x:v>Expected state; vocabulary; sample evidence; restoration path; no mastery claim</x:v>
      </x:c>
      <x:c r="H20" s="89" t="str">
        <x:v>Draft discussion</x:v>
      </x:c>
    </x:row>
    <x:row r="21">
      <x:c r="A21" s="89" t="str">
        <x:v>M15</x:v>
      </x:c>
      <x:c r="B21" s="89" t="str">
        <x:v>Survive a Workload Failure</x:v>
      </x:c>
      <x:c r="C21" s="89" t="str">
        <x:v>Section 19</x:v>
      </x:c>
      <x:c r="D21" s="89" t="str">
        <x:v>Deploy, break, observe, and recover Kubernetes workloads</x:v>
      </x:c>
      <x:c r="E21" s="89" t="str">
        <x:v>Pod; selector; DNS; probe; resources; rollout</x:v>
      </x:c>
      <x:c r="F21" s="89" t="str">
        <x:v>manifests; Kubernetes runbook</x:v>
      </x:c>
      <x:c r="G21" s="89" t="str">
        <x:v>Expected state; vocabulary; sample evidence; restoration path; no mastery claim</x:v>
      </x:c>
      <x:c r="H21" s="89" t="str">
        <x:v>Draft discussion</x:v>
      </x:c>
    </x:row>
    <x:row r="22">
      <x:c r="A22" s="89" t="str">
        <x:v>M16</x:v>
      </x:c>
      <x:c r="B22" s="89" t="str">
        <x:v>Production Incident Night</x:v>
      </x:c>
      <x:c r="C22" s="89" t="str">
        <x:v>Section 20</x:v>
      </x:c>
      <x:c r="D22" s="89" t="str">
        <x:v>Correlate evidence and lead recovery at 02:13</x:v>
      </x:c>
      <x:c r="E22" s="89" t="str">
        <x:v>Latency; auth errors; recent release; incomplete evidence</x:v>
      </x:c>
      <x:c r="F22" s="89" t="str">
        <x:v>incident; post-incident review; improvement plan</x:v>
      </x:c>
      <x:c r="G22" s="89" t="str">
        <x:v>Expected state; vocabulary; sample evidence; restoration path; no mastery claim</x:v>
      </x:c>
      <x:c r="H22" s="89" t="str">
        <x:v>Draft discussion</x:v>
      </x:c>
    </x:row>
    <x:row r="23">
      <x:c r="A23" s="90" t="str">
        <x:v>M17</x:v>
      </x:c>
      <x:c r="B23" s="90" t="str">
        <x:v>AnandTech Production Launch</x:v>
      </x:c>
      <x:c r="C23" s="90" t="str">
        <x:v>Section 22</x:v>
      </x:c>
      <x:c r="D23" s="90" t="str">
        <x:v>Integrate and defend the complete platform</x:v>
      </x:c>
      <x:c r="E23" s="90" t="str">
        <x:v>Multi-layer production simulation</x:v>
      </x:c>
      <x:c r="F23" s="90" t="str">
        <x:v>final portfolio and technical defense</x:v>
      </x:c>
      <x:c r="G23" s="90" t="str">
        <x:v>Expected state; vocabulary; sample evidence; restoration path; no mastery claim</x:v>
      </x:c>
      <x:c r="H23" s="90" t="str">
        <x:v>Draft discussion</x:v>
      </x:c>
    </x:row>
  </x:sheetData>
  <x:mergeCells>
    <x:mergeCell ref="A1:H1"/>
    <x:mergeCell ref="A2:H2"/>
    <x:mergeCell ref="A3:H3"/>
  </x:mergeCells>
  <x:conditionalFormatting sqref="H6:H23">
    <x:cfRule type="containsText" dxfId="15" priority="1" operator="containsText" text="Locked"/>
    <x:cfRule type="containsText" dxfId="16" priority="2" operator="containsText" text="Unresolved"/>
    <x:cfRule type="containsText" dxfId="17" priority="3" operator="containsText" text="Pending"/>
  </x:conditionalFormatting>
  <x:dataValidations count="1">
    <x:dataValidation type="list" sqref="H6:H23">
      <x:formula1>"Draft discussion,Ready for SSOT,Locked,Deferred"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892008b1de48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58" hidden="0" customWidth="1"/>
    <x:col min="4" max="4" width="48" hidden="0" customWidth="1"/>
    <x:col min="5" max="5" width="43" hidden="0" customWidth="1"/>
    <x:col min="6" max="6" width="55" hidden="0" customWidth="1"/>
    <x:col min="7" max="7" width="14" hidden="0" customWidth="1"/>
    <x:col min="8" max="8" width="16" hidden="0" customWidth="1"/>
  </x:cols>
  <x:sheetData>
    <x:row r="1" ht="28" customHeight="1">
      <x:c r="A1" s="65" t="str">
        <x:v>Open Questions and Required Decisions</x:v>
      </x:c>
      <x:c r="B1" s="65"/>
      <x:c r="C1" s="65"/>
      <x:c r="D1" s="65"/>
      <x:c r="E1" s="65"/>
      <x:c r="F1" s="65"/>
      <x:c r="G1" s="65"/>
      <x:c r="H1" s="65"/>
    </x:row>
    <x:row r="2" ht="30" customHeight="1">
      <x:c r="A2" s="68" t="str">
        <x:v>Questions that materially change scope, lab commands, cost, packaging, or learner experience.</x:v>
      </x:c>
      <x:c r="B2" s="68"/>
      <x:c r="C2" s="68"/>
      <x:c r="D2" s="68"/>
      <x:c r="E2" s="68"/>
      <x:c r="F2" s="68"/>
      <x:c r="G2" s="68"/>
      <x:c r="H2" s="68"/>
    </x:row>
    <x:row r="3" ht="30" customHeight="1">
      <x:c r="A3" s="71" t="str">
        <x:v>Resolve critical questions before drafting affected locked SSOTs.</x:v>
      </x:c>
      <x:c r="B3" s="71"/>
      <x:c r="C3" s="71"/>
      <x:c r="D3" s="71"/>
      <x:c r="E3" s="71"/>
      <x:c r="F3" s="71"/>
      <x:c r="G3" s="71"/>
      <x:c r="H3" s="71"/>
    </x:row>
    <x:row r="5" ht="30" customHeight="1">
      <x:c r="A5" s="78" t="str">
        <x:v>ID</x:v>
      </x:c>
      <x:c r="B5" s="79" t="str">
        <x:v>Decision</x:v>
      </x:c>
      <x:c r="C5" s="79" t="str">
        <x:v>Question</x:v>
      </x:c>
      <x:c r="D5" s="79" t="str">
        <x:v>Recommended option</x:v>
      </x:c>
      <x:c r="E5" s="79" t="str">
        <x:v>Alternative</x:v>
      </x:c>
      <x:c r="F5" s="79" t="str">
        <x:v>Impact</x:v>
      </x:c>
      <x:c r="G5" s="79" t="str">
        <x:v>Priority</x:v>
      </x:c>
      <x:c r="H5" s="80" t="str">
        <x:v>Status</x:v>
      </x:c>
    </x:row>
    <x:row r="6">
      <x:c r="A6" s="88" t="str">
        <x:v>Q-001</x:v>
      </x:c>
      <x:c r="B6" s="88" t="str">
        <x:v>Host-only IP allocation</x:v>
      </x:c>
      <x:c r="C6" s="88" t="str">
        <x:v>Should the host retain 192.168.56.1 and VMs use .11/.12/.13?</x:v>
      </x:c>
      <x:c r="D6" s="88" t="str">
        <x:v>Use .11/.12/.13</x:v>
      </x:c>
      <x:c r="E6" s="88" t="str">
        <x:v>Keep VM .1/.2/.3 and move host adapter</x:v>
      </x:c>
      <x:c r="F6" s="88" t="str">
        <x:v>Lab connectivity and every downstream example</x:v>
      </x:c>
      <x:c r="G6" s="88" t="str">
        <x:v>Critical</x:v>
      </x:c>
      <x:c r="H6" s="88" t="str">
        <x:v>Open</x:v>
      </x:c>
    </x:row>
    <x:row r="7">
      <x:c r="A7" s="89" t="str">
        <x:v>Q-002</x:v>
      </x:c>
      <x:c r="B7" s="89" t="str">
        <x:v>Internet adapter</x:v>
      </x:c>
      <x:c r="C7" s="89" t="str">
        <x:v>Should the primary course use bridged or NAT for Internet access?</x:v>
      </x:c>
      <x:c r="D7" s="89" t="str">
        <x:v>Bridged as requested, with NAT fallback</x:v>
      </x:c>
      <x:c r="E7" s="89" t="str">
        <x:v>NAT as safer default</x:v>
      </x:c>
      <x:c r="F7" s="89" t="str">
        <x:v>Exposure, corporate Wi-Fi compatibility, screenshots</x:v>
      </x:c>
      <x:c r="G7" s="89" t="str">
        <x:v>High</x:v>
      </x:c>
      <x:c r="H7" s="89" t="str">
        <x:v>Open</x:v>
      </x:c>
    </x:row>
    <x:row r="8">
      <x:c r="A8" s="89" t="str">
        <x:v>Q-003</x:v>
      </x:c>
      <x:c r="B8" s="89" t="str">
        <x:v>Debian networking</x:v>
      </x:c>
      <x:c r="C8" s="89" t="str">
        <x:v>Which Debian network stack is canonical for persistent interfaces?</x:v>
      </x:c>
      <x:c r="D8" s="89" t="str">
        <x:v>systemd-networkd or /etc/network/interfaces after installer decision</x:v>
      </x:c>
      <x:c r="E8" s="89" t="str">
        <x:v>NetworkManager</x:v>
      </x:c>
      <x:c r="F8" s="89" t="str">
        <x:v>Exact commands and recovery labs</x:v>
      </x:c>
      <x:c r="G8" s="89" t="str">
        <x:v>High</x:v>
      </x:c>
      <x:c r="H8" s="89" t="str">
        <x:v>Open</x:v>
      </x:c>
    </x:row>
    <x:row r="9">
      <x:c r="A9" s="89" t="str">
        <x:v>Q-004</x:v>
      </x:c>
      <x:c r="B9" s="89" t="str">
        <x:v>Terraform</x:v>
      </x:c>
      <x:c r="C9" s="89" t="str">
        <x:v>Is Terraform the locked IaC implementation tool?</x:v>
      </x:c>
      <x:c r="D9" s="89" t="str">
        <x:v>Use Terraform</x:v>
      </x:c>
      <x:c r="E9" s="89" t="str">
        <x:v>Keep tool-neutral until Section 17 planning</x:v>
      </x:c>
      <x:c r="F9" s="89" t="str">
        <x:v>Section scope and examples</x:v>
      </x:c>
      <x:c r="G9" s="89" t="str">
        <x:v>Medium</x:v>
      </x:c>
      <x:c r="H9" s="89" t="str">
        <x:v>Open</x:v>
      </x:c>
    </x:row>
    <x:row r="10">
      <x:c r="A10" s="89" t="str">
        <x:v>Q-005</x:v>
      </x:c>
      <x:c r="B10" s="89" t="str">
        <x:v>AWS cost model</x:v>
      </x:c>
      <x:c r="C10" s="89" t="str">
        <x:v>Will live AWS labs be mandatory or optional?</x:v>
      </x:c>
      <x:c r="D10" s="89" t="str">
        <x:v>Optional with free-tier/cost guardrails</x:v>
      </x:c>
      <x:c r="E10" s="89" t="str">
        <x:v>Mandatory account</x:v>
      </x:c>
      <x:c r="F10" s="89" t="str">
        <x:v>Accessibility, cost, cleanup</x:v>
      </x:c>
      <x:c r="G10" s="89" t="str">
        <x:v>High</x:v>
      </x:c>
      <x:c r="H10" s="89" t="str">
        <x:v>Open</x:v>
      </x:c>
    </x:row>
    <x:row r="11">
      <x:c r="A11" s="89" t="str">
        <x:v>Q-006</x:v>
      </x:c>
      <x:c r="B11" s="89" t="str">
        <x:v>Workshop assets</x:v>
      </x:c>
      <x:c r="C11" s="89" t="str">
        <x:v>Will the course distribute VM appliances/snapshots or only build instructions?</x:v>
      </x:c>
      <x:c r="D11" s="89" t="str">
        <x:v>Build instructions plus checkpoint scripts/configs</x:v>
      </x:c>
      <x:c r="E11" s="89" t="str">
        <x:v>Include large OVA/snapshot assets</x:v>
      </x:c>
      <x:c r="F11" s="89" t="str">
        <x:v>Package size and maintenance</x:v>
      </x:c>
      <x:c r="G11" s="89" t="str">
        <x:v>Medium</x:v>
      </x:c>
      <x:c r="H11" s="89" t="str">
        <x:v>Open</x:v>
      </x:c>
    </x:row>
    <x:row r="12">
      <x:c r="A12" s="89" t="str">
        <x:v>Q-007</x:v>
      </x:c>
      <x:c r="B12" s="89" t="str">
        <x:v>Solutions</x:v>
      </x:c>
      <x:c r="C12" s="89" t="str">
        <x:v>How should self-study workshop solutions be delivered?</x:v>
      </x:c>
      <x:c r="D12" s="89" t="str">
        <x:v>Separate solution_after_attempt.md</x:v>
      </x:c>
      <x:c r="E12" s="89" t="str">
        <x:v>Inline progressive hints only</x:v>
      </x:c>
      <x:c r="F12" s="89" t="str">
        <x:v>Learning integrity and usability</x:v>
      </x:c>
      <x:c r="G12" s="89" t="str">
        <x:v>Medium</x:v>
      </x:c>
      <x:c r="H12" s="89" t="str">
        <x:v>Open</x:v>
      </x:c>
    </x:row>
    <x:row r="13">
      <x:c r="A13" s="90" t="str">
        <x:v>Q-008</x:v>
      </x:c>
      <x:c r="B13" s="90" t="str">
        <x:v>Calendar pace</x:v>
      </x:c>
      <x:c r="C13" s="90" t="str">
        <x:v>Is 40 weeks the canonical recommended pace?</x:v>
      </x:c>
      <x:c r="D13" s="90" t="str">
        <x:v>40-week standard plus accelerated/self-paced views</x:v>
      </x:c>
      <x:c r="E13" s="90" t="str">
        <x:v>Different fixed duration</x:v>
      </x:c>
      <x:c r="F13" s="90" t="str">
        <x:v>Course positioning and workload</x:v>
      </x:c>
      <x:c r="G13" s="90" t="str">
        <x:v>Medium</x:v>
      </x:c>
      <x:c r="H13" s="90" t="str">
        <x:v>Open</x:v>
      </x:c>
    </x:row>
  </x:sheetData>
  <x:mergeCells>
    <x:mergeCell ref="A1:H1"/>
    <x:mergeCell ref="A2:H2"/>
    <x:mergeCell ref="A3:H3"/>
  </x:mergeCells>
  <x:conditionalFormatting sqref="H6:H13">
    <x:cfRule type="containsText" dxfId="18" priority="1" operator="containsText" text="Locked"/>
    <x:cfRule type="containsText" dxfId="19" priority="2" operator="containsText" text="Unresolved"/>
    <x:cfRule type="containsText" dxfId="20" priority="3" operator="containsText" text="Pending"/>
  </x:conditionalFormatting>
  <x:conditionalFormatting sqref="G6:G13">
    <x:cfRule type="containsText" dxfId="21" priority="4" operator="containsText" text="Critical"/>
    <x:cfRule type="containsText" dxfId="22" priority="5" operator="containsText" text="High"/>
  </x:conditionalFormatting>
  <x:dataValidations count="2">
    <x:dataValidation type="list" sqref="H6:H13">
      <x:formula1>"Open,Resolved,Deferred,Rejected"</x:formula1>
    </x:dataValidation>
    <x:dataValidation type="list" sqref="G6:G1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858e57e6cb47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68" hidden="0" customWidth="1"/>
    <x:col min="4" max="4" width="52" hidden="0" customWidth="1"/>
    <x:col min="5" max="5" width="32" hidden="0" customWidth="1"/>
    <x:col min="6" max="6" width="22" hidden="0" customWidth="1"/>
    <x:col min="7" max="7" width="28" hidden="0" customWidth="1"/>
    <x:col min="8" max="8" width="34" hidden="0" customWidth="1"/>
  </x:cols>
  <x:sheetData>
    <x:row r="1" ht="28" customHeight="1">
      <x:c r="A1" s="65" t="str">
        <x:v>Planning Decision Register</x:v>
      </x:c>
      <x:c r="B1" s="65"/>
      <x:c r="C1" s="65"/>
      <x:c r="D1" s="65"/>
      <x:c r="E1" s="65"/>
      <x:c r="F1" s="65"/>
      <x:c r="G1" s="65"/>
      <x:c r="H1" s="65"/>
    </x:row>
    <x:row r="2" ht="30" customHeight="1">
      <x:c r="A2" s="68" t="str">
        <x:v>Move a discussion here when a direction is accepted, rejected, deferred, or ready for SSOT drafting.</x:v>
      </x:c>
      <x:c r="B2" s="68"/>
      <x:c r="C2" s="68"/>
      <x:c r="D2" s="68"/>
      <x:c r="E2" s="68"/>
      <x:c r="F2" s="68"/>
      <x:c r="G2" s="68"/>
      <x:c r="H2" s="68"/>
    </x:row>
    <x:row r="3" ht="30" customHeight="1">
      <x:c r="A3" s="71" t="str">
        <x:v>Accepted for SSOT means ready to be written into a draft SSOT; it still does not mean locked.</x:v>
      </x:c>
      <x:c r="B3" s="71"/>
      <x:c r="C3" s="71"/>
      <x:c r="D3" s="71"/>
      <x:c r="E3" s="71"/>
      <x:c r="F3" s="71"/>
      <x:c r="G3" s="71"/>
      <x:c r="H3" s="71"/>
    </x:row>
    <x:row r="5" ht="30" customHeight="1">
      <x:c r="A5" s="78" t="str">
        <x:v>ID</x:v>
      </x:c>
      <x:c r="B5" s="79" t="str">
        <x:v>Decision area</x:v>
      </x:c>
      <x:c r="C5" s="79" t="str">
        <x:v>Proposed decision</x:v>
      </x:c>
      <x:c r="D5" s="79" t="str">
        <x:v>Rationale</x:v>
      </x:c>
      <x:c r="E5" s="79" t="str">
        <x:v>Affected sheets/sections</x:v>
      </x:c>
      <x:c r="F5" s="79" t="str">
        <x:v>Status</x:v>
      </x:c>
      <x:c r="G5" s="79" t="str">
        <x:v>Approval reference</x:v>
      </x:c>
      <x:c r="H5" s="80" t="str">
        <x:v>Next action</x:v>
      </x:c>
    </x:row>
    <x:row r="6">
      <x:c r="A6" s="88" t="str">
        <x:v>D-001</x:v>
      </x:c>
      <x:c r="B6" s="88" t="str">
        <x:v>Course identity</x:v>
      </x:c>
      <x:c r="C6" s="88" t="str">
        <x:v>Journey with AnandTech — DevOps Zero to Production</x:v>
      </x:c>
      <x:c r="D6" s="88" t="str">
        <x:v>Explicit user direction</x:v>
      </x:c>
      <x:c r="E6" s="88" t="str">
        <x:v>Course-wide</x:v>
      </x:c>
      <x:c r="F6" s="88" t="str">
        <x:v>Accepted for SSOT</x:v>
      </x:c>
      <x:c r="G6" s="88" t="str">
        <x:v>Conversation 2026-09-01</x:v>
      </x:c>
      <x:c r="H6" s="88" t="str">
        <x:v>Write into relevant SSOT draft</x:v>
      </x:c>
    </x:row>
    <x:row r="7">
      <x:c r="A7" s="89" t="str">
        <x:v>D-002</x:v>
      </x:c>
      <x:c r="B7" s="89" t="str">
        <x:v>Course model</x:v>
      </x:c>
      <x:c r="C7" s="89" t="str">
        <x:v>Parallel story course plus optional milestone workshop track</x:v>
      </x:c>
      <x:c r="D7" s="89" t="str">
        <x:v>Latest discussion</x:v>
      </x:c>
      <x:c r="E7" s="89" t="str">
        <x:v>Course-wide</x:v>
      </x:c>
      <x:c r="F7" s="89" t="str">
        <x:v>Accepted for SSOT</x:v>
      </x:c>
      <x:c r="G7" s="89" t="str">
        <x:v>Conversation 2026-09-01</x:v>
      </x:c>
      <x:c r="H7" s="89" t="str">
        <x:v>Write into relevant SSOT draft</x:v>
      </x:c>
    </x:row>
    <x:row r="8">
      <x:c r="A8" s="89" t="str">
        <x:v>D-003</x:v>
      </x:c>
      <x:c r="B8" s="89" t="str">
        <x:v>Workshop skip behavior</x:v>
      </x:c>
      <x:c r="C8" s="89" t="str">
        <x:v>Full, guided, or continuity checkpoint</x:v>
      </x:c>
      <x:c r="D8" s="89" t="str">
        <x:v>Latest discussion</x:v>
      </x:c>
      <x:c r="E8" s="89" t="str">
        <x:v>Labs</x:v>
      </x:c>
      <x:c r="F8" s="89" t="str">
        <x:v>Accepted for SSOT</x:v>
      </x:c>
      <x:c r="G8" s="89" t="str">
        <x:v>Conversation 2026-09-01</x:v>
      </x:c>
      <x:c r="H8" s="89" t="str">
        <x:v>Write into relevant SSOT draft</x:v>
      </x:c>
    </x:row>
    <x:row r="9">
      <x:c r="A9" s="89" t="str">
        <x:v>D-004</x:v>
      </x:c>
      <x:c r="B9" s="89" t="str">
        <x:v>Planning governance</x:v>
      </x:c>
      <x:c r="C9" s="89" t="str">
        <x:v>PLAN records mutable discussions; SSOT contains final locked decisions</x:v>
      </x:c>
      <x:c r="D9" s="89" t="str">
        <x:v>User instruction</x:v>
      </x:c>
      <x:c r="E9" s="89" t="str">
        <x:v>Governance</x:v>
      </x:c>
      <x:c r="F9" s="89" t="str">
        <x:v>Accepted for SSOT</x:v>
      </x:c>
      <x:c r="G9" s="89" t="str">
        <x:v>Conversation 2026-09-01</x:v>
      </x:c>
      <x:c r="H9" s="89" t="str">
        <x:v>Write into relevant SSOT draft</x:v>
      </x:c>
    </x:row>
    <x:row r="10">
      <x:c r="A10" s="89" t="str">
        <x:v>D-005</x:v>
      </x:c>
      <x:c r="B10" s="89" t="str">
        <x:v>Linux depth</x:v>
      </x:c>
      <x:c r="C10" s="89" t="str">
        <x:v>Linux is the deepest foundation with 33 units including grep and systemd</x:v>
      </x:c>
      <x:c r="D10" s="89" t="str">
        <x:v>User instruction</x:v>
      </x:c>
      <x:c r="E10" s="89" t="str">
        <x:v>Section 04</x:v>
      </x:c>
      <x:c r="F10" s="89" t="str">
        <x:v>Accepted for SSOT</x:v>
      </x:c>
      <x:c r="G10" s="89" t="str">
        <x:v>Conversation 2026-09-01</x:v>
      </x:c>
      <x:c r="H10" s="89" t="str">
        <x:v>Write into relevant SSOT draft</x:v>
      </x:c>
    </x:row>
    <x:row r="11">
      <x:c r="A11" s="89" t="str">
        <x:v>D-006</x:v>
      </x:c>
      <x:c r="B11" s="89" t="str">
        <x:v>Development scope</x:v>
      </x:c>
      <x:c r="C11" s="89" t="str">
        <x:v>HTML/CSS/JS Todo + FastAPI endpoints + Docker-hosted PostgreSQL/pgvector insight</x:v>
      </x:c>
      <x:c r="D11" s="89" t="str">
        <x:v>User instruction</x:v>
      </x:c>
      <x:c r="E11" s="89" t="str">
        <x:v>Section 05</x:v>
      </x:c>
      <x:c r="F11" s="89" t="str">
        <x:v>Accepted for SSOT</x:v>
      </x:c>
      <x:c r="G11" s="89" t="str">
        <x:v>Conversation 2026-09-01</x:v>
      </x:c>
      <x:c r="H11" s="89" t="str">
        <x:v>Write into relevant SSOT draft</x:v>
      </x:c>
    </x:row>
    <x:row r="12">
      <x:c r="A12" s="89" t="str">
        <x:v>D-007</x:v>
      </x:c>
      <x:c r="B12" s="89" t="str">
        <x:v>VM roles</x:v>
      </x:c>
      <x:c r="C12" s="89" t="str">
        <x:v>web01 Alpine; cicd01 Debian; mon01 Debian</x:v>
      </x:c>
      <x:c r="D12" s="89" t="str">
        <x:v>User instruction</x:v>
      </x:c>
      <x:c r="E12" s="89" t="str">
        <x:v>Lab</x:v>
      </x:c>
      <x:c r="F12" s="89" t="str">
        <x:v>Accepted for SSOT</x:v>
      </x:c>
      <x:c r="G12" s="89" t="str">
        <x:v>Conversation 2026-09-01</x:v>
      </x:c>
      <x:c r="H12" s="89" t="str">
        <x:v>Write into relevant SSOT draft</x:v>
      </x:c>
    </x:row>
    <x:row r="13">
      <x:c r="A13" s="89" t="str">
        <x:v>D-008</x:v>
      </x:c>
      <x:c r="B13" s="89" t="str">
        <x:v>VM networking</x:v>
      </x:c>
      <x:c r="C13" s="89" t="str">
        <x:v>Adapter 1 bridged; Adapter 2 host-only; persistent; SSH from host</x:v>
      </x:c>
      <x:c r="D13" s="89" t="str">
        <x:v>User instruction</x:v>
      </x:c>
      <x:c r="E13" s="89" t="str">
        <x:v>Lab</x:v>
      </x:c>
      <x:c r="F13" s="89" t="str">
        <x:v>Accepted for SSOT</x:v>
      </x:c>
      <x:c r="G13" s="89" t="str">
        <x:v>Conversation 2026-09-01</x:v>
      </x:c>
      <x:c r="H13" s="89" t="str">
        <x:v>Write into relevant SSOT draft</x:v>
      </x:c>
    </x:row>
    <x:row r="14">
      <x:c r="A14" s="89" t="str">
        <x:v>D-009</x:v>
      </x:c>
      <x:c r="B14" s="89" t="str">
        <x:v>Host-only IPs</x:v>
      </x:c>
      <x:c r="C14" s="89" t="str">
        <x:v>Recommend host .1 and VMs .11/.12/.13 instead of requested .1/.2/.3</x:v>
      </x:c>
      <x:c r="D14" s="89" t="str">
        <x:v>Avoid host/web01 duplicate address</x:v>
      </x:c>
      <x:c r="E14" s="89" t="str">
        <x:v>Lab</x:v>
      </x:c>
      <x:c r="F14" s="89" t="str">
        <x:v>Discussing</x:v>
      </x:c>
      <x:c r="G14" s="89" t="str">
        <x:v>Conversation 2026-09-01</x:v>
      </x:c>
      <x:c r="H14" s="89" t="str">
        <x:v>Resolve choice</x:v>
      </x:c>
    </x:row>
    <x:row r="15">
      <x:c r="A15" s="89" t="str">
        <x:v>D-010</x:v>
      </x:c>
      <x:c r="B15" s="89" t="str">
        <x:v>VirtualBox automation</x:v>
      </x:c>
      <x:c r="C15" s="89" t="str">
        <x:v>VBoxManage plus PowerShell, Python, Vagrant overview/examples</x:v>
      </x:c>
      <x:c r="D15" s="89" t="str">
        <x:v>User instruction</x:v>
      </x:c>
      <x:c r="E15" s="89" t="str">
        <x:v>Section 03</x:v>
      </x:c>
      <x:c r="F15" s="89" t="str">
        <x:v>Accepted for SSOT</x:v>
      </x:c>
      <x:c r="G15" s="89" t="str">
        <x:v>Conversation 2026-09-01</x:v>
      </x:c>
      <x:c r="H15" s="89" t="str">
        <x:v>Write into relevant SSOT draft</x:v>
      </x:c>
    </x:row>
    <x:row r="16">
      <x:c r="A16" s="89" t="str">
        <x:v>D-011</x:v>
      </x:c>
      <x:c r="B16" s="89" t="str">
        <x:v>Progressive installation</x:v>
      </x:c>
      <x:c r="C16" s="89" t="str">
        <x:v>Install/configure each tool in its owning section</x:v>
      </x:c>
      <x:c r="D16" s="89" t="str">
        <x:v>User instruction</x:v>
      </x:c>
      <x:c r="E16" s="89" t="str">
        <x:v>Course-wide</x:v>
      </x:c>
      <x:c r="F16" s="89" t="str">
        <x:v>Accepted for SSOT</x:v>
      </x:c>
      <x:c r="G16" s="89" t="str">
        <x:v>Conversation 2026-09-01</x:v>
      </x:c>
      <x:c r="H16" s="89" t="str">
        <x:v>Write into relevant SSOT draft</x:v>
      </x:c>
    </x:row>
    <x:row r="17">
      <x:c r="A17" s="89" t="str">
        <x:v>D-012</x:v>
      </x:c>
      <x:c r="B17" s="89" t="str">
        <x:v>Course calendar</x:v>
      </x:c>
      <x:c r="C17" s="89" t="str">
        <x:v>Cumulative learner timeline and stable story timeline artifact</x:v>
      </x:c>
      <x:c r="D17" s="89" t="str">
        <x:v>User instruction</x:v>
      </x:c>
      <x:c r="E17" s="89" t="str">
        <x:v>Artifacts</x:v>
      </x:c>
      <x:c r="F17" s="89" t="str">
        <x:v>Accepted for SSOT</x:v>
      </x:c>
      <x:c r="G17" s="89" t="str">
        <x:v>Conversation 2026-09-01</x:v>
      </x:c>
      <x:c r="H17" s="89" t="str">
        <x:v>Write into relevant SSOT draft</x:v>
      </x:c>
    </x:row>
    <x:row r="18">
      <x:c r="A18" s="89" t="str">
        <x:v>D-013</x:v>
      </x:c>
      <x:c r="B18" s="89" t="str">
        <x:v>Terraform</x:v>
      </x:c>
      <x:c r="C18" s="89" t="str">
        <x:v>Use Terraform as the proposed IaC teaching tool</x:v>
      </x:c>
      <x:c r="D18" s="89" t="str">
        <x:v>Requires explicit technology lock</x:v>
      </x:c>
      <x:c r="E18" s="89" t="str">
        <x:v>Section 17</x:v>
      </x:c>
      <x:c r="F18" s="89" t="str">
        <x:v>Discussing</x:v>
      </x:c>
      <x:c r="G18" s="89" t="str">
        <x:v>Conversation 2026-09-01</x:v>
      </x:c>
      <x:c r="H18" s="89" t="str">
        <x:v>Resolve choice</x:v>
      </x:c>
    </x:row>
    <x:row r="19">
      <x:c r="A19" s="90" t="str">
        <x:v>D-014</x:v>
      </x:c>
      <x:c r="B19" s="90" t="str">
        <x:v>Bridged Internet adapter</x:v>
      </x:c>
      <x:c r="C19" s="90" t="str">
        <x:v>Use bridged mode as requested; teach exposure and LAN dependence</x:v>
      </x:c>
      <x:c r="D19" s="90" t="str">
        <x:v>NAT may be safer on restricted networks</x:v>
      </x:c>
      <x:c r="E19" s="90" t="str">
        <x:v>Lab</x:v>
      </x:c>
      <x:c r="F19" s="90" t="str">
        <x:v>Discussing</x:v>
      </x:c>
      <x:c r="G19" s="90" t="str">
        <x:v>Conversation 2026-09-01</x:v>
      </x:c>
      <x:c r="H19" s="90" t="str">
        <x:v>Resolve choice</x:v>
      </x:c>
    </x:row>
  </x:sheetData>
  <x:mergeCells>
    <x:mergeCell ref="A1:H1"/>
    <x:mergeCell ref="A2:H2"/>
    <x:mergeCell ref="A3:H3"/>
  </x:mergeCells>
  <x:conditionalFormatting sqref="F6:F19">
    <x:cfRule type="containsText" dxfId="23" priority="1" operator="containsText" text="Locked"/>
    <x:cfRule type="containsText" dxfId="24" priority="2" operator="containsText" text="Unresolved"/>
    <x:cfRule type="containsText" dxfId="25" priority="3" operator="containsText" text="Pending"/>
  </x:conditionalFormatting>
  <x:dataValidations count="1">
    <x:dataValidation type="list" sqref="F6:F19">
      <x:formula1>"Proposed,Discussing,Accepted for SSOT,Rejected,Deferred,Locked in SSOT"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1bbb8e54774c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42" hidden="0" customWidth="1"/>
    <x:col min="4" max="4" width="24" hidden="0" customWidth="1"/>
    <x:col min="5" max="5" width="18" hidden="0" customWidth="1"/>
    <x:col min="6" max="6" width="45" hidden="0" customWidth="1"/>
  </x:cols>
  <x:sheetData>
    <x:row r="1" ht="28" customHeight="1">
      <x:c r="A1" s="65" t="str">
        <x:v>Planning-to-SSOT Review Checklist</x:v>
      </x:c>
      <x:c r="B1" s="65"/>
      <x:c r="C1" s="65"/>
      <x:c r="D1" s="65"/>
      <x:c r="E1" s="65"/>
      <x:c r="F1" s="65"/>
    </x:row>
    <x:row r="2" ht="30" customHeight="1">
      <x:c r="A2" s="68" t="str">
        <x:v>Use before requesting explicit lock for the project map, lab design, or any section.</x:v>
      </x:c>
      <x:c r="B2" s="68"/>
      <x:c r="C2" s="68"/>
      <x:c r="D2" s="68"/>
      <x:c r="E2" s="68"/>
      <x:c r="F2" s="68"/>
    </x:row>
    <x:row r="3" ht="30" customHeight="1">
      <x:c r="A3" s="71" t="str">
        <x:v>A blank or failed item prevents lock readiness; the owner records evidence rather than checking boxes from memory.</x:v>
      </x:c>
      <x:c r="B3" s="71"/>
      <x:c r="C3" s="71"/>
      <x:c r="D3" s="71"/>
      <x:c r="E3" s="71"/>
      <x:c r="F3" s="71"/>
    </x:row>
    <x:row r="5" ht="30" customHeight="1">
      <x:c r="A5" s="78" t="str">
        <x:v>Area</x:v>
      </x:c>
      <x:c r="B5" s="79" t="str">
        <x:v>Review question</x:v>
      </x:c>
      <x:c r="C5" s="79" t="str">
        <x:v>Evidence required</x:v>
      </x:c>
      <x:c r="D5" s="79" t="str">
        <x:v>Owner</x:v>
      </x:c>
      <x:c r="E5" s="79" t="str">
        <x:v>Status</x:v>
      </x:c>
      <x:c r="F5" s="80" t="str">
        <x:v>Notes</x:v>
      </x:c>
    </x:row>
    <x:row r="6">
      <x:c r="A6" s="88" t="str">
        <x:v>Scope</x:v>
      </x:c>
      <x:c r="B6" s="88" t="str">
        <x:v>Are section purpose, outcomes, units, topics, exclusions, and dependencies explicit?</x:v>
      </x:c>
      <x:c r="C6" s="88" t="str">
        <x:v>Completed scope map</x:v>
      </x:c>
      <x:c r="D6" s="88" t="str">
        <x:v>Curriculum architect</x:v>
      </x:c>
      <x:c r="E6" s="88" t="str">
        <x:v>Not started</x:v>
      </x:c>
      <x:c r="F6" s="88" t="str"/>
    </x:row>
    <x:row r="7">
      <x:c r="A7" s="89" t="str">
        <x:v>Sequence</x:v>
      </x:c>
      <x:c r="B7" s="89" t="str">
        <x:v>Does every unit rely only on previously taught or declared knowledge?</x:v>
      </x:c>
      <x:c r="C7" s="89" t="str">
        <x:v>Dependency review</x:v>
      </x:c>
      <x:c r="D7" s="89" t="str">
        <x:v>Learning reviewer</x:v>
      </x:c>
      <x:c r="E7" s="89" t="str">
        <x:v>Not started</x:v>
      </x:c>
      <x:c r="F7" s="89" t="str"/>
    </x:row>
    <x:row r="8">
      <x:c r="A8" s="89" t="str">
        <x:v>Lab</x:v>
      </x:c>
      <x:c r="B8" s="89" t="str">
        <x:v>Are platform, software, permissions, starting state, network, cleanup, and recovery defined?</x:v>
      </x:c>
      <x:c r="C8" s="89" t="str">
        <x:v>Lab manifest</x:v>
      </x:c>
      <x:c r="D8" s="89" t="str">
        <x:v>Lab designer</x:v>
      </x:c>
      <x:c r="E8" s="89" t="str">
        <x:v>Not started</x:v>
      </x:c>
      <x:c r="F8" s="89" t="str"/>
    </x:row>
    <x:row r="9">
      <x:c r="A9" s="89" t="str">
        <x:v>Safety</x:v>
      </x:c>
      <x:c r="B9" s="89" t="str">
        <x:v>Are privileged, disruptive, and destructive steps bounded and recoverable?</x:v>
      </x:c>
      <x:c r="C9" s="89" t="str">
        <x:v>Safety review</x:v>
      </x:c>
      <x:c r="D9" s="89" t="str">
        <x:v>Technical reviewer</x:v>
      </x:c>
      <x:c r="E9" s="89" t="str">
        <x:v>Not started</x:v>
      </x:c>
      <x:c r="F9" s="89" t="str"/>
    </x:row>
    <x:row r="10">
      <x:c r="A10" s="89" t="str">
        <x:v>Story</x:v>
      </x:c>
      <x:c r="B10" s="89" t="str">
        <x:v>Does the AnandTech narrative create motivation and preserve chronology?</x:v>
      </x:c>
      <x:c r="C10" s="89" t="str">
        <x:v>Story/calendar review</x:v>
      </x:c>
      <x:c r="D10" s="89" t="str">
        <x:v>Instructional designer</x:v>
      </x:c>
      <x:c r="E10" s="89" t="str">
        <x:v>Not started</x:v>
      </x:c>
      <x:c r="F10" s="89" t="str"/>
    </x:row>
    <x:row r="11">
      <x:c r="A11" s="89" t="str">
        <x:v>Workshops</x:v>
      </x:c>
      <x:c r="B11" s="89" t="str">
        <x:v>Are milestone readiness, modes, failure, evidence, recovery, and skip state defined?</x:v>
      </x:c>
      <x:c r="C11" s="89" t="str">
        <x:v>Workshop contract</x:v>
      </x:c>
      <x:c r="D11" s="89" t="str">
        <x:v>Lab designer</x:v>
      </x:c>
      <x:c r="E11" s="89" t="str">
        <x:v>Not started</x:v>
      </x:c>
      <x:c r="F11" s="89" t="str"/>
    </x:row>
    <x:row r="12">
      <x:c r="A12" s="89" t="str">
        <x:v>Artifacts</x:v>
      </x:c>
      <x:c r="B12" s="89" t="str">
        <x:v>Does every required artifact have purpose, path, content, evidence, and completion criteria?</x:v>
      </x:c>
      <x:c r="C12" s="89" t="str">
        <x:v>Artifact register</x:v>
      </x:c>
      <x:c r="D12" s="89" t="str">
        <x:v>Curriculum architect</x:v>
      </x:c>
      <x:c r="E12" s="89" t="str">
        <x:v>Not started</x:v>
      </x:c>
      <x:c r="F12" s="89" t="str"/>
    </x:row>
    <x:row r="13">
      <x:c r="A13" s="89" t="str">
        <x:v>Assessment</x:v>
      </x:c>
      <x:c r="B13" s="89" t="str">
        <x:v>Do assessments align with objectives and progress from recognition to engineering?</x:v>
      </x:c>
      <x:c r="C13" s="89" t="str">
        <x:v>Assessment map</x:v>
      </x:c>
      <x:c r="D13" s="89" t="str">
        <x:v>Learning reviewer</x:v>
      </x:c>
      <x:c r="E13" s="89" t="str">
        <x:v>Not started</x:v>
      </x:c>
      <x:c r="F13" s="89" t="str"/>
    </x:row>
    <x:row r="14">
      <x:c r="A14" s="89" t="str">
        <x:v>Technology</x:v>
      </x:c>
      <x:c r="B14" s="89" t="str">
        <x:v>Are version-sensitive choices explicit and authorized?</x:v>
      </x:c>
      <x:c r="C14" s="89" t="str">
        <x:v>Technology decision record</x:v>
      </x:c>
      <x:c r="D14" s="89" t="str">
        <x:v>Technical reviewer</x:v>
      </x:c>
      <x:c r="E14" s="89" t="str">
        <x:v>Not started</x:v>
      </x:c>
      <x:c r="F14" s="89" t="str"/>
    </x:row>
    <x:row r="15">
      <x:c r="A15" s="89" t="str">
        <x:v>Packaging</x:v>
      </x:c>
      <x:c r="B15" s="89" t="str">
        <x:v>Is the final package name and content boundary defined without granting packaging permission?</x:v>
      </x:c>
      <x:c r="C15" s="89" t="str">
        <x:v>Package specification</x:v>
      </x:c>
      <x:c r="D15" s="89" t="str">
        <x:v>Project owner</x:v>
      </x:c>
      <x:c r="E15" s="89" t="str">
        <x:v>Not started</x:v>
      </x:c>
      <x:c r="F15" s="89" t="str"/>
    </x:row>
    <x:row r="16">
      <x:c r="A16" s="89" t="str">
        <x:v>Conflict</x:v>
      </x:c>
      <x:c r="B16" s="89" t="str">
        <x:v>Have all conflicts with higher-authority instructions been resolved visibly?</x:v>
      </x:c>
      <x:c r="C16" s="89" t="str">
        <x:v>Decision register</x:v>
      </x:c>
      <x:c r="D16" s="89" t="str">
        <x:v>Project owner</x:v>
      </x:c>
      <x:c r="E16" s="89" t="str">
        <x:v>Not started</x:v>
      </x:c>
      <x:c r="F16" s="89" t="str"/>
    </x:row>
    <x:row r="17">
      <x:c r="A17" s="90" t="str">
        <x:v>Lock</x:v>
      </x:c>
      <x:c r="B17" s="90" t="str">
        <x:v>Has the user explicitly said the SSOT is locked?</x:v>
      </x:c>
      <x:c r="C17" s="90" t="str">
        <x:v>Conversation reference</x:v>
      </x:c>
      <x:c r="D17" s="90" t="str">
        <x:v>Project owner</x:v>
      </x:c>
      <x:c r="E17" s="90" t="str">
        <x:v>Not started</x:v>
      </x:c>
      <x:c r="F17" s="90" t="str"/>
    </x:row>
  </x:sheetData>
  <x:mergeCells>
    <x:mergeCell ref="A1:F1"/>
    <x:mergeCell ref="A2:F2"/>
    <x:mergeCell ref="A3:F3"/>
  </x:mergeCells>
  <x:conditionalFormatting sqref="E6:E17">
    <x:cfRule type="containsText" dxfId="26" priority="1" operator="containsText" text="Locked"/>
    <x:cfRule type="containsText" dxfId="27" priority="2" operator="containsText" text="Unresolved"/>
    <x:cfRule type="containsText" dxfId="28" priority="3" operator="containsText" text="Pending"/>
  </x:conditionalFormatting>
  <x:dataValidations count="1">
    <x:dataValidation type="list" sqref="E6:E17">
      <x:formula1>"Not started,In progress,Pass,Blocked,Not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2efd9872241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70" hidden="0" customWidth="1"/>
    <x:col min="4" max="4" width="62" hidden="0" customWidth="1"/>
    <x:col min="5" max="5" width="38" hidden="0" customWidth="1"/>
    <x:col min="6" max="6" width="15" hidden="0" customWidth="1"/>
  </x:cols>
  <x:sheetData>
    <x:row r="1" ht="28" customHeight="1">
      <x:c r="A1" s="65" t="str">
        <x:v>PLAN Change Log</x:v>
      </x:c>
      <x:c r="B1" s="65"/>
      <x:c r="C1" s="65"/>
      <x:c r="D1" s="65"/>
      <x:c r="E1" s="65"/>
      <x:c r="F1" s="65"/>
    </x:row>
    <x:row r="2" ht="30" customHeight="1">
      <x:c r="A2" s="68" t="str">
        <x:v>Append-only record of material planning revisions.</x:v>
      </x:c>
      <x:c r="B2" s="68"/>
      <x:c r="C2" s="68"/>
      <x:c r="D2" s="68"/>
      <x:c r="E2" s="68"/>
      <x:c r="F2" s="68"/>
    </x:row>
    <x:row r="3" ht="30" customHeight="1">
      <x:c r="A3" s="71" t="str">
        <x:v>Future revisions should add rows with affected decisions instead of overwriting why the plan changed.</x:v>
      </x:c>
      <x:c r="B3" s="71"/>
      <x:c r="C3" s="71"/>
      <x:c r="D3" s="71"/>
      <x:c r="E3" s="71"/>
      <x:c r="F3" s="71"/>
    </x:row>
    <x:row r="5" ht="30" customHeight="1">
      <x:c r="A5" s="78" t="str">
        <x:v>Version</x:v>
      </x:c>
      <x:c r="B5" s="79" t="str">
        <x:v>Date</x:v>
      </x:c>
      <x:c r="C5" s="79" t="str">
        <x:v>Change</x:v>
      </x:c>
      <x:c r="D5" s="79" t="str">
        <x:v>Reason</x:v>
      </x:c>
      <x:c r="E5" s="79" t="str">
        <x:v>Affected areas</x:v>
      </x:c>
      <x:c r="F5" s="80" t="str">
        <x:v>Status</x:v>
      </x:c>
    </x:row>
    <x:row r="6">
      <x:c r="A6" s="88" t="str">
        <x:v>0.1</x:v>
      </x:c>
      <x:c r="B6" s="88" t="str">
        <x:v>2026-09-01</x:v>
      </x:c>
      <x:c r="C6" s="88" t="str">
        <x:v>Initial course section/unit/topic draft</x:v>
      </x:c>
      <x:c r="D6" s="88" t="str">
        <x:v>Establish complete zero-to-production map</x:v>
      </x:c>
      <x:c r="E6" s="88" t="str">
        <x:v>All sections</x:v>
      </x:c>
      <x:c r="F6" s="88" t="str">
        <x:v>Recorded</x:v>
      </x:c>
    </x:row>
    <x:row r="7">
      <x:c r="A7" s="89" t="str">
        <x:v>0.2</x:v>
      </x:c>
      <x:c r="B7" s="89" t="str">
        <x:v>2026-09-01</x:v>
      </x:c>
      <x:c r="C7" s="89" t="str">
        <x:v>Expanded VirtualBox, Linux, and development insight</x:v>
      </x:c>
      <x:c r="D7" s="89" t="str">
        <x:v>User requested deeper foundation and progressive real application</x:v>
      </x:c>
      <x:c r="E7" s="89" t="str">
        <x:v>Sections 03-05; lab</x:v>
      </x:c>
      <x:c r="F7" s="89" t="str">
        <x:v>Recorded</x:v>
      </x:c>
    </x:row>
    <x:row r="8">
      <x:c r="A8" s="89" t="str">
        <x:v>0.3</x:v>
      </x:c>
      <x:c r="B8" s="89" t="str">
        <x:v>2026-09-01</x:v>
      </x:c>
      <x:c r="C8" s="89" t="str">
        <x:v>Added parallel workshop journey and course calendar</x:v>
      </x:c>
      <x:c r="D8" s="89" t="str">
        <x:v>User requested industrial milestone labs and comic-like chronology</x:v>
      </x:c>
      <x:c r="E8" s="89" t="str">
        <x:v>M00-M17; artifacts; story</x:v>
      </x:c>
      <x:c r="F8" s="89" t="str">
        <x:v>Recorded</x:v>
      </x:c>
    </x:row>
    <x:row r="9">
      <x:c r="A9" s="90" t="str">
        <x:v>0.4</x:v>
      </x:c>
      <x:c r="B9" s="90" t="str">
        <x:v>2026-09-01</x:v>
      </x:c>
      <x:c r="C9" s="90" t="str">
        <x:v>Created spreadsheet-based SSOT draft and PLAN register</x:v>
      </x:c>
      <x:c r="D9" s="90" t="str">
        <x:v>Consolidate discussions into auditable planning artifacts</x:v>
      </x:c>
      <x:c r="E9" s="90" t="str">
        <x:v>Governance; complete course</x:v>
      </x:c>
      <x:c r="F9" s="90" t="str">
        <x:v>Current</x:v>
      </x:c>
    </x:row>
  </x:sheetData>
  <x:mergeCells>
    <x:mergeCell ref="A1:F1"/>
    <x:mergeCell ref="A2:F2"/>
    <x:mergeCell ref="A3:F3"/>
  </x:mergeCells>
  <x:conditionalFormatting sqref="F6:F9">
    <x:cfRule type="containsText" dxfId="29" priority="1" operator="containsText" text="Locked"/>
    <x:cfRule type="containsText" dxfId="30" priority="2" operator="containsText" text="Unresolved"/>
    <x:cfRule type="containsText" dxfId="31" priority="3" operator="containsText" text="Pending"/>
  </x:conditionalFormatting>
  <x:dataValidations count="1">
    <x:dataValidation type="list" sqref="F6:F9">
      <x:formula1>"Recorded,Current,Superseded"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228f18f5314199"/>
  </x:tableParts>
</x:worksheet>
</file>